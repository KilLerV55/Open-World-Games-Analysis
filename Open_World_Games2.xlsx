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ksha\Downloads\"/>
    </mc:Choice>
  </mc:AlternateContent>
  <xr:revisionPtr revIDLastSave="0" documentId="13_ncr:1_{6C0046C5-E6E9-4AE7-9DF8-A4DE9A5D6323}" xr6:coauthVersionLast="47" xr6:coauthVersionMax="47" xr10:uidLastSave="{00000000-0000-0000-0000-000000000000}"/>
  <bookViews>
    <workbookView xWindow="-120" yWindow="-120" windowWidth="20730" windowHeight="11040" activeTab="2" xr2:uid="{00000000-000D-0000-FFFF-FFFF00000000}"/>
  </bookViews>
  <sheets>
    <sheet name="Games_Data" sheetId="1" r:id="rId1"/>
    <sheet name="Pivot Tables" sheetId="3" r:id="rId2"/>
    <sheet name="Dashboard" sheetId="4" r:id="rId3"/>
    <sheet name="Pivot_Summaries" sheetId="2" r:id="rId4"/>
  </sheets>
  <definedNames>
    <definedName name="NativeTimeline_Release_Date">#N/A</definedName>
    <definedName name="Slicer_Developer">#N/A</definedName>
    <definedName name="Slicer_Genre">#N/A</definedName>
    <definedName name="Slicer_Platform">#N/A</definedName>
    <definedName name="Slicer_Release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2" i="1"/>
</calcChain>
</file>

<file path=xl/sharedStrings.xml><?xml version="1.0" encoding="utf-8"?>
<sst xmlns="http://schemas.openxmlformats.org/spreadsheetml/2006/main" count="4312" uniqueCount="215">
  <si>
    <t>Game_Title</t>
  </si>
  <si>
    <t>Developer</t>
  </si>
  <si>
    <t>Publisher</t>
  </si>
  <si>
    <t>Release_Year</t>
  </si>
  <si>
    <t>Genre</t>
  </si>
  <si>
    <t>Platform</t>
  </si>
  <si>
    <t>Engine</t>
  </si>
  <si>
    <t>ESRB_Rating</t>
  </si>
  <si>
    <t>Metacritic_Score</t>
  </si>
  <si>
    <t>Sales_Millions</t>
  </si>
  <si>
    <t>Map_Size_km2</t>
  </si>
  <si>
    <t>Online_Multiplayer</t>
  </si>
  <si>
    <t>Budget_MillionUSD</t>
  </si>
  <si>
    <t>Revenue_MillionUSD</t>
  </si>
  <si>
    <t>Awards_Won</t>
  </si>
  <si>
    <t>Grand Theft Auto V</t>
  </si>
  <si>
    <t>Rockstar North</t>
  </si>
  <si>
    <t>Rockstar Games</t>
  </si>
  <si>
    <t>Action-Adventure</t>
  </si>
  <si>
    <t>PS3</t>
  </si>
  <si>
    <t>RAGE</t>
  </si>
  <si>
    <t>Mature</t>
  </si>
  <si>
    <t>No</t>
  </si>
  <si>
    <t>PS4</t>
  </si>
  <si>
    <t>Yes</t>
  </si>
  <si>
    <t>PS5</t>
  </si>
  <si>
    <t>Xbox 360</t>
  </si>
  <si>
    <t>Xbox One</t>
  </si>
  <si>
    <t>PC</t>
  </si>
  <si>
    <t>Grand Theft Auto IV</t>
  </si>
  <si>
    <t>Red Dead Redemption 2</t>
  </si>
  <si>
    <t>Rockstar Studios</t>
  </si>
  <si>
    <t>The Witcher 3: Wild Hunt</t>
  </si>
  <si>
    <t>CD Projekt Red</t>
  </si>
  <si>
    <t>CD Projekt</t>
  </si>
  <si>
    <t>Action-RPG</t>
  </si>
  <si>
    <t>REDengine</t>
  </si>
  <si>
    <t>Switch</t>
  </si>
  <si>
    <t>Cyberpunk 2077</t>
  </si>
  <si>
    <t>Xbox Series X/S</t>
  </si>
  <si>
    <t>Assassin's Creed Valhalla</t>
  </si>
  <si>
    <t>Ubisoft Montreal</t>
  </si>
  <si>
    <t>Ubisoft</t>
  </si>
  <si>
    <t>AnvilNext</t>
  </si>
  <si>
    <t>Assassin's Creed Odyssey</t>
  </si>
  <si>
    <t>Ubisoft Quebec</t>
  </si>
  <si>
    <t>Assassin's Creed Origins</t>
  </si>
  <si>
    <t>Horizon Zero Dawn</t>
  </si>
  <si>
    <t>Guerrilla Games</t>
  </si>
  <si>
    <t>Sony Interactive Entertainment</t>
  </si>
  <si>
    <t>Decima</t>
  </si>
  <si>
    <t>Teen</t>
  </si>
  <si>
    <t>Horizon Forbidden West</t>
  </si>
  <si>
    <t>The Elder Scrolls V: Skyrim</t>
  </si>
  <si>
    <t>Bethesda Game Studios</t>
  </si>
  <si>
    <t>Bethesda Softworks</t>
  </si>
  <si>
    <t>Creation Engine</t>
  </si>
  <si>
    <t>Fallout 4</t>
  </si>
  <si>
    <t>Fallout: New Vegas</t>
  </si>
  <si>
    <t>Obsidian Entertainment</t>
  </si>
  <si>
    <t>Gamebryo</t>
  </si>
  <si>
    <t>Breath of the Wild</t>
  </si>
  <si>
    <t>Nintendo EPD</t>
  </si>
  <si>
    <t>Nintendo</t>
  </si>
  <si>
    <t>Havok/Custom</t>
  </si>
  <si>
    <t>E10+</t>
  </si>
  <si>
    <t>Wii U</t>
  </si>
  <si>
    <t>Tears of the Kingdom</t>
  </si>
  <si>
    <t>GTA: San Andreas</t>
  </si>
  <si>
    <t>PS2</t>
  </si>
  <si>
    <t>Xbox</t>
  </si>
  <si>
    <t>GTA: Vice City</t>
  </si>
  <si>
    <t>Ghost of Tsushima</t>
  </si>
  <si>
    <t>Sucker Punch Productions</t>
  </si>
  <si>
    <t>Days Gone</t>
  </si>
  <si>
    <t>Bend Studio</t>
  </si>
  <si>
    <t>Proprietary</t>
  </si>
  <si>
    <t>Death Stranding</t>
  </si>
  <si>
    <t>Kojima Productions</t>
  </si>
  <si>
    <t>Decima/RE Engine</t>
  </si>
  <si>
    <t>Minecraft</t>
  </si>
  <si>
    <t>Mojang Studios</t>
  </si>
  <si>
    <t>Mojang (Microsoft)</t>
  </si>
  <si>
    <t>Sandbox</t>
  </si>
  <si>
    <t>Custom</t>
  </si>
  <si>
    <t>Everyone</t>
  </si>
  <si>
    <t>Mobile</t>
  </si>
  <si>
    <t>No Man's Sky</t>
  </si>
  <si>
    <t>Hello Games</t>
  </si>
  <si>
    <t>Exploration</t>
  </si>
  <si>
    <t>The Outer Worlds</t>
  </si>
  <si>
    <t>Private Division</t>
  </si>
  <si>
    <t>Unreal Engine</t>
  </si>
  <si>
    <t>Watch Dogs 2</t>
  </si>
  <si>
    <t>Disrupt</t>
  </si>
  <si>
    <t>Watch Dogs: Legion</t>
  </si>
  <si>
    <t>Ubisoft Toronto</t>
  </si>
  <si>
    <t>Far Cry 3</t>
  </si>
  <si>
    <t>FPS</t>
  </si>
  <si>
    <t>Dunia</t>
  </si>
  <si>
    <t>Far Cry 4</t>
  </si>
  <si>
    <t>Far Cry 5</t>
  </si>
  <si>
    <t>Far Cry 6</t>
  </si>
  <si>
    <t>Just Cause 3</t>
  </si>
  <si>
    <t>Avalanche Studios</t>
  </si>
  <si>
    <t>Square Enix</t>
  </si>
  <si>
    <t>Avalanche Engine</t>
  </si>
  <si>
    <t>Just Cause 4</t>
  </si>
  <si>
    <t>Saints Row: The Third</t>
  </si>
  <si>
    <t>Volition</t>
  </si>
  <si>
    <t>THQ</t>
  </si>
  <si>
    <t>Mafia III</t>
  </si>
  <si>
    <t>Hangar 13</t>
  </si>
  <si>
    <t>2K Games</t>
  </si>
  <si>
    <t>Metal Gear Solid V: The Phantom Pain</t>
  </si>
  <si>
    <t>Konami</t>
  </si>
  <si>
    <t>Fox Engine</t>
  </si>
  <si>
    <t>Yakuza 0</t>
  </si>
  <si>
    <t>Ryu Ga Gotoku Studio</t>
  </si>
  <si>
    <t>Sega</t>
  </si>
  <si>
    <t>Dragon Engine</t>
  </si>
  <si>
    <t>Yakuza: Like a Dragon</t>
  </si>
  <si>
    <t>RPG</t>
  </si>
  <si>
    <t>Shenmue III</t>
  </si>
  <si>
    <t>Ys Net</t>
  </si>
  <si>
    <t>Deep Silver</t>
  </si>
  <si>
    <t>YS Engine</t>
  </si>
  <si>
    <t>Subnautica</t>
  </si>
  <si>
    <t>Unknown Worlds Entertainment</t>
  </si>
  <si>
    <t>Unknown Worlds</t>
  </si>
  <si>
    <t>Survival</t>
  </si>
  <si>
    <t>Unity</t>
  </si>
  <si>
    <t>Subnautica: Below Zero</t>
  </si>
  <si>
    <t>Skyrim Special Edition</t>
  </si>
  <si>
    <t>S.T.A.L.K.E.R.: Shadow of Chernobyl</t>
  </si>
  <si>
    <t>GSC Game World</t>
  </si>
  <si>
    <t>X-Ray</t>
  </si>
  <si>
    <t>Metro Exodus</t>
  </si>
  <si>
    <t>4A Games</t>
  </si>
  <si>
    <t>Shooter</t>
  </si>
  <si>
    <t>4A Engine</t>
  </si>
  <si>
    <t>State of Decay 2</t>
  </si>
  <si>
    <t>Undead Labs</t>
  </si>
  <si>
    <t>Xbox Game Studios</t>
  </si>
  <si>
    <t>Monster Hunter: World</t>
  </si>
  <si>
    <t>Capcom</t>
  </si>
  <si>
    <t>MT Framework</t>
  </si>
  <si>
    <t>Dragon's Dogma</t>
  </si>
  <si>
    <t>Dragon's Dogma 2</t>
  </si>
  <si>
    <t>Capcom Engine</t>
  </si>
  <si>
    <t>Elite Dangerous</t>
  </si>
  <si>
    <t>Frontier Developments</t>
  </si>
  <si>
    <t>Sim/Space</t>
  </si>
  <si>
    <t>COBRA/Custom</t>
  </si>
  <si>
    <t>Elden Ring</t>
  </si>
  <si>
    <t>FromSoftware</t>
  </si>
  <si>
    <t>Bandai Namco</t>
  </si>
  <si>
    <t>Action RPG</t>
  </si>
  <si>
    <t>FromEngine</t>
  </si>
  <si>
    <t>Dark Souls III</t>
  </si>
  <si>
    <t>Sekiro: Shadows Die Twice</t>
  </si>
  <si>
    <t>Activision</t>
  </si>
  <si>
    <t>Forza Horizon 4</t>
  </si>
  <si>
    <t>Playground Games</t>
  </si>
  <si>
    <t>Microsoft Studios</t>
  </si>
  <si>
    <t>Racing</t>
  </si>
  <si>
    <t>ForzaTech</t>
  </si>
  <si>
    <t>E</t>
  </si>
  <si>
    <t>Forza Horizon 5</t>
  </si>
  <si>
    <t>Burnout Paradise Remastered</t>
  </si>
  <si>
    <t>Criterion Games</t>
  </si>
  <si>
    <t>Electronic Arts</t>
  </si>
  <si>
    <t>Burnout Engine</t>
  </si>
  <si>
    <t>The Crew 2</t>
  </si>
  <si>
    <t>Ivory Tower</t>
  </si>
  <si>
    <t>Sable</t>
  </si>
  <si>
    <t>Shedworks</t>
  </si>
  <si>
    <t>Raw Fury</t>
  </si>
  <si>
    <t>Outer Wilds</t>
  </si>
  <si>
    <t>Mobius Digital</t>
  </si>
  <si>
    <t>Annapurna Interactive</t>
  </si>
  <si>
    <t>The Legend of Zelda: Breath of the Wild</t>
  </si>
  <si>
    <t>The Legend of Zelda: Tears of the Kingdom</t>
  </si>
  <si>
    <t>Kingdom Come: Deliverance</t>
  </si>
  <si>
    <t>Warhorse Studios</t>
  </si>
  <si>
    <t>CryEngine</t>
  </si>
  <si>
    <t>Kingdoms of Amalur: Reckoning</t>
  </si>
  <si>
    <t>38 Studios</t>
  </si>
  <si>
    <t>GreedFall</t>
  </si>
  <si>
    <t>Spiders</t>
  </si>
  <si>
    <t>Focus Home Interactive</t>
  </si>
  <si>
    <t>Silk Engine</t>
  </si>
  <si>
    <t>Biomutant</t>
  </si>
  <si>
    <t>Experiment 101</t>
  </si>
  <si>
    <t>THQ Nordic</t>
  </si>
  <si>
    <t>Palworld</t>
  </si>
  <si>
    <t>Pocketpair</t>
  </si>
  <si>
    <t>Sea of Thieves</t>
  </si>
  <si>
    <t>Rare</t>
  </si>
  <si>
    <t>Adventure</t>
  </si>
  <si>
    <t>Skyrim</t>
  </si>
  <si>
    <t>Multiple</t>
  </si>
  <si>
    <t>Fallout 3</t>
  </si>
  <si>
    <t>Gamebryo/Creation</t>
  </si>
  <si>
    <t>RDR</t>
  </si>
  <si>
    <t>Rockstar San Diego</t>
  </si>
  <si>
    <t>Unique_Games</t>
  </si>
  <si>
    <t>Avg_Metacritic</t>
  </si>
  <si>
    <t>Grand Total</t>
  </si>
  <si>
    <t>Count of Game_Title</t>
  </si>
  <si>
    <t>Column Labels</t>
  </si>
  <si>
    <t>Average of Metacritic_Score</t>
  </si>
  <si>
    <t>Genre/Game titles</t>
  </si>
  <si>
    <t>Release_Date</t>
  </si>
  <si>
    <t>Open World Games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</si>
</sst>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26"/>
      <color theme="1"/>
      <name val="Calibri"/>
      <family val="2"/>
      <scheme val="minor"/>
    </font>
  </fonts>
  <fills count="3">
    <fill>
      <patternFill patternType="none"/>
    </fill>
    <fill>
      <patternFill patternType="gray125"/>
    </fill>
    <fill>
      <patternFill patternType="solid">
        <fgColor rgb="FF0B3D9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xf numFmtId="14" fontId="1" fillId="0" borderId="1" xfId="0" applyNumberFormat="1" applyFont="1" applyBorder="1" applyAlignment="1">
      <alignment horizontal="center" vertical="top"/>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0"/>
  <tableStyles count="0" defaultTableStyle="TableStyleMedium9" defaultPivotStyle="PivotStyleLight16"/>
  <colors>
    <mruColors>
      <color rgb="FFD0BBF7"/>
      <color rgb="FF0B3D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[Open_World_Games2.xlsx]Pivot Tables! Game Count by Genre</c:name>
    <c:fmtId val="2"/>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trendline>
            <c:spPr>
              <a:ln w="19050" cap="rnd">
                <a:solidFill>
                  <a:schemeClr val="accent5"/>
                </a:solidFill>
              </a:ln>
              <a:effectLst/>
            </c:spPr>
            <c:trendlineType val="linear"/>
            <c:dispRSqr val="0"/>
            <c:dispEq val="0"/>
          </c:trendline>
          <c:cat>
            <c:strRef>
              <c:f>'Pivot Tables'!$A$4:$A$16</c:f>
              <c:strCache>
                <c:ptCount val="12"/>
                <c:pt idx="0">
                  <c:v>Action RPG</c:v>
                </c:pt>
                <c:pt idx="1">
                  <c:v>Action-Adventure</c:v>
                </c:pt>
                <c:pt idx="2">
                  <c:v>Action-RPG</c:v>
                </c:pt>
                <c:pt idx="3">
                  <c:v>Adventure</c:v>
                </c:pt>
                <c:pt idx="4">
                  <c:v>Exploration</c:v>
                </c:pt>
                <c:pt idx="5">
                  <c:v>FPS</c:v>
                </c:pt>
                <c:pt idx="6">
                  <c:v>Racing</c:v>
                </c:pt>
                <c:pt idx="7">
                  <c:v>RPG</c:v>
                </c:pt>
                <c:pt idx="8">
                  <c:v>Sandbox</c:v>
                </c:pt>
                <c:pt idx="9">
                  <c:v>Shooter</c:v>
                </c:pt>
                <c:pt idx="10">
                  <c:v>Sim/Space</c:v>
                </c:pt>
                <c:pt idx="11">
                  <c:v>Survival</c:v>
                </c:pt>
              </c:strCache>
            </c:strRef>
          </c:cat>
          <c:val>
            <c:numRef>
              <c:f>'Pivot Tables'!$B$4:$B$16</c:f>
              <c:numCache>
                <c:formatCode>General</c:formatCode>
                <c:ptCount val="12"/>
                <c:pt idx="0">
                  <c:v>26</c:v>
                </c:pt>
                <c:pt idx="1">
                  <c:v>154</c:v>
                </c:pt>
                <c:pt idx="2">
                  <c:v>149</c:v>
                </c:pt>
                <c:pt idx="3">
                  <c:v>2</c:v>
                </c:pt>
                <c:pt idx="4">
                  <c:v>32</c:v>
                </c:pt>
                <c:pt idx="5">
                  <c:v>43</c:v>
                </c:pt>
                <c:pt idx="6">
                  <c:v>27</c:v>
                </c:pt>
                <c:pt idx="7">
                  <c:v>6</c:v>
                </c:pt>
                <c:pt idx="8">
                  <c:v>22</c:v>
                </c:pt>
                <c:pt idx="9">
                  <c:v>10</c:v>
                </c:pt>
                <c:pt idx="10">
                  <c:v>10</c:v>
                </c:pt>
                <c:pt idx="11">
                  <c:v>19</c:v>
                </c:pt>
              </c:numCache>
            </c:numRef>
          </c:val>
          <c:extLst>
            <c:ext xmlns:c16="http://schemas.microsoft.com/office/drawing/2014/chart" uri="{C3380CC4-5D6E-409C-BE32-E72D297353CC}">
              <c16:uniqueId val="{00000000-CBB3-4C14-A0C4-D18703ACE698}"/>
            </c:ext>
          </c:extLst>
        </c:ser>
        <c:dLbls>
          <c:dLblPos val="inEnd"/>
          <c:showLegendKey val="0"/>
          <c:showVal val="1"/>
          <c:showCatName val="0"/>
          <c:showSerName val="0"/>
          <c:showPercent val="0"/>
          <c:showBubbleSize val="0"/>
        </c:dLbls>
        <c:gapWidth val="65"/>
        <c:axId val="1268095856"/>
        <c:axId val="1268081456"/>
      </c:barChart>
      <c:catAx>
        <c:axId val="12680958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081456"/>
        <c:crosses val="autoZero"/>
        <c:auto val="1"/>
        <c:lblAlgn val="ctr"/>
        <c:lblOffset val="100"/>
        <c:noMultiLvlLbl val="0"/>
      </c:catAx>
      <c:valAx>
        <c:axId val="126808145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68095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[Open_World_Games2.xlsx]Pivot Tables!Games by Developer</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Tables'!$E$3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'Pivot Tables'!$D$4:$D$43</c:f>
              <c:strCache>
                <c:ptCount val="39"/>
                <c:pt idx="0">
                  <c:v>38 Studios</c:v>
                </c:pt>
                <c:pt idx="1">
                  <c:v>4A Games</c:v>
                </c:pt>
                <c:pt idx="2">
                  <c:v>Avalanche Studios</c:v>
                </c:pt>
                <c:pt idx="3">
                  <c:v>Bend Studio</c:v>
                </c:pt>
                <c:pt idx="4">
                  <c:v>Bethesda Game Studios</c:v>
                </c:pt>
                <c:pt idx="5">
                  <c:v>Capcom</c:v>
                </c:pt>
                <c:pt idx="6">
                  <c:v>CD Projekt Red</c:v>
                </c:pt>
                <c:pt idx="7">
                  <c:v>Criterion Games</c:v>
                </c:pt>
                <c:pt idx="8">
                  <c:v>Experiment 101</c:v>
                </c:pt>
                <c:pt idx="9">
                  <c:v>FromSoftware</c:v>
                </c:pt>
                <c:pt idx="10">
                  <c:v>Frontier Developments</c:v>
                </c:pt>
                <c:pt idx="11">
                  <c:v>GSC Game World</c:v>
                </c:pt>
                <c:pt idx="12">
                  <c:v>Guerrilla Games</c:v>
                </c:pt>
                <c:pt idx="13">
                  <c:v>Hangar 13</c:v>
                </c:pt>
                <c:pt idx="14">
                  <c:v>Hello Games</c:v>
                </c:pt>
                <c:pt idx="15">
                  <c:v>Ivory Tower</c:v>
                </c:pt>
                <c:pt idx="16">
                  <c:v>Kojima Productions</c:v>
                </c:pt>
                <c:pt idx="17">
                  <c:v>Mobius Digital</c:v>
                </c:pt>
                <c:pt idx="18">
                  <c:v>Mojang Studios</c:v>
                </c:pt>
                <c:pt idx="19">
                  <c:v>Nintendo EPD</c:v>
                </c:pt>
                <c:pt idx="20">
                  <c:v>Obsidian Entertainment</c:v>
                </c:pt>
                <c:pt idx="21">
                  <c:v>Playground Games</c:v>
                </c:pt>
                <c:pt idx="22">
                  <c:v>Pocketpair</c:v>
                </c:pt>
                <c:pt idx="23">
                  <c:v>Rare</c:v>
                </c:pt>
                <c:pt idx="24">
                  <c:v>Rockstar North</c:v>
                </c:pt>
                <c:pt idx="25">
                  <c:v>Rockstar San Diego</c:v>
                </c:pt>
                <c:pt idx="26">
                  <c:v>Rockstar Studios</c:v>
                </c:pt>
                <c:pt idx="27">
                  <c:v>Ryu Ga Gotoku Studio</c:v>
                </c:pt>
                <c:pt idx="28">
                  <c:v>Shedworks</c:v>
                </c:pt>
                <c:pt idx="29">
                  <c:v>Spiders</c:v>
                </c:pt>
                <c:pt idx="30">
                  <c:v>Sucker Punch Productions</c:v>
                </c:pt>
                <c:pt idx="31">
                  <c:v>Ubisoft Montreal</c:v>
                </c:pt>
                <c:pt idx="32">
                  <c:v>Ubisoft Quebec</c:v>
                </c:pt>
                <c:pt idx="33">
                  <c:v>Ubisoft Toronto</c:v>
                </c:pt>
                <c:pt idx="34">
                  <c:v>Undead Labs</c:v>
                </c:pt>
                <c:pt idx="35">
                  <c:v>Unknown Worlds Entertainment</c:v>
                </c:pt>
                <c:pt idx="36">
                  <c:v>Volition</c:v>
                </c:pt>
                <c:pt idx="37">
                  <c:v>Warhorse Studios</c:v>
                </c:pt>
                <c:pt idx="38">
                  <c:v>Ys Net</c:v>
                </c:pt>
              </c:strCache>
            </c:strRef>
          </c:cat>
          <c:val>
            <c:numRef>
              <c:f>'Pivot Tables'!$E$4:$E$43</c:f>
              <c:numCache>
                <c:formatCode>General</c:formatCode>
                <c:ptCount val="39"/>
                <c:pt idx="0">
                  <c:v>4</c:v>
                </c:pt>
                <c:pt idx="1">
                  <c:v>10</c:v>
                </c:pt>
                <c:pt idx="2">
                  <c:v>8</c:v>
                </c:pt>
                <c:pt idx="3">
                  <c:v>6</c:v>
                </c:pt>
                <c:pt idx="4">
                  <c:v>32</c:v>
                </c:pt>
                <c:pt idx="5">
                  <c:v>22</c:v>
                </c:pt>
                <c:pt idx="6">
                  <c:v>18</c:v>
                </c:pt>
                <c:pt idx="7">
                  <c:v>9</c:v>
                </c:pt>
                <c:pt idx="8">
                  <c:v>12</c:v>
                </c:pt>
                <c:pt idx="9">
                  <c:v>30</c:v>
                </c:pt>
                <c:pt idx="10">
                  <c:v>10</c:v>
                </c:pt>
                <c:pt idx="11">
                  <c:v>2</c:v>
                </c:pt>
                <c:pt idx="12">
                  <c:v>6</c:v>
                </c:pt>
                <c:pt idx="13">
                  <c:v>9</c:v>
                </c:pt>
                <c:pt idx="14">
                  <c:v>10</c:v>
                </c:pt>
                <c:pt idx="15">
                  <c:v>6</c:v>
                </c:pt>
                <c:pt idx="16">
                  <c:v>22</c:v>
                </c:pt>
                <c:pt idx="17">
                  <c:v>10</c:v>
                </c:pt>
                <c:pt idx="18">
                  <c:v>22</c:v>
                </c:pt>
                <c:pt idx="19">
                  <c:v>13</c:v>
                </c:pt>
                <c:pt idx="20">
                  <c:v>13</c:v>
                </c:pt>
                <c:pt idx="21">
                  <c:v>12</c:v>
                </c:pt>
                <c:pt idx="22">
                  <c:v>3</c:v>
                </c:pt>
                <c:pt idx="23">
                  <c:v>2</c:v>
                </c:pt>
                <c:pt idx="24">
                  <c:v>37</c:v>
                </c:pt>
                <c:pt idx="25">
                  <c:v>5</c:v>
                </c:pt>
                <c:pt idx="26">
                  <c:v>5</c:v>
                </c:pt>
                <c:pt idx="27">
                  <c:v>17</c:v>
                </c:pt>
                <c:pt idx="28">
                  <c:v>12</c:v>
                </c:pt>
                <c:pt idx="29">
                  <c:v>6</c:v>
                </c:pt>
                <c:pt idx="30">
                  <c:v>4</c:v>
                </c:pt>
                <c:pt idx="31">
                  <c:v>58</c:v>
                </c:pt>
                <c:pt idx="32">
                  <c:v>9</c:v>
                </c:pt>
                <c:pt idx="33">
                  <c:v>20</c:v>
                </c:pt>
                <c:pt idx="34">
                  <c:v>3</c:v>
                </c:pt>
                <c:pt idx="35">
                  <c:v>11</c:v>
                </c:pt>
                <c:pt idx="36">
                  <c:v>12</c:v>
                </c:pt>
                <c:pt idx="37">
                  <c:v>8</c:v>
                </c:pt>
                <c:pt idx="38">
                  <c:v>2</c:v>
                </c:pt>
              </c:numCache>
            </c:numRef>
          </c:val>
          <c:extLst>
            <c:ext xmlns:c16="http://schemas.microsoft.com/office/drawing/2014/chart" uri="{C3380CC4-5D6E-409C-BE32-E72D297353CC}">
              <c16:uniqueId val="{00000000-6080-4046-9C48-597C745027CA}"/>
            </c:ext>
          </c:extLst>
        </c:ser>
        <c:dLbls>
          <c:showLegendKey val="0"/>
          <c:showVal val="0"/>
          <c:showCatName val="0"/>
          <c:showSerName val="0"/>
          <c:showPercent val="0"/>
          <c:showBubbleSize val="0"/>
        </c:dLbls>
        <c:gapWidth val="65"/>
        <c:shape val="box"/>
        <c:axId val="1268104976"/>
        <c:axId val="1268105936"/>
        <c:axId val="0"/>
      </c:bar3DChart>
      <c:catAx>
        <c:axId val="126810497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105936"/>
        <c:crosses val="autoZero"/>
        <c:auto val="1"/>
        <c:lblAlgn val="ctr"/>
        <c:lblOffset val="100"/>
        <c:noMultiLvlLbl val="0"/>
      </c:catAx>
      <c:valAx>
        <c:axId val="1268105936"/>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81049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[Open_World_Games2.xlsx]Pivot Tables!Games over Time</c:name>
    <c:fmtId val="7"/>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ln w="31750" cap="rnd">
            <a:solidFill>
              <a:schemeClr val="accent1"/>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ln w="31750" cap="rnd">
            <a:solidFill>
              <a:schemeClr val="accent1"/>
            </a:solidFill>
            <a:round/>
          </a:ln>
          <a:effectLst/>
        </c:spPr>
        <c:marker>
          <c:symbol val="circle"/>
          <c:size val="17"/>
          <c:spPr>
            <a:solidFill>
              <a:schemeClr val="accent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ln w="31750" cap="rnd">
            <a:solidFill>
              <a:schemeClr val="accent1"/>
            </a:solidFill>
            <a:round/>
          </a:ln>
          <a:effectLst/>
        </c:spPr>
        <c:marker>
          <c:symbol val="circle"/>
          <c:size val="17"/>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ln w="31750" cap="rnd">
            <a:solidFill>
              <a:schemeClr val="accent1"/>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ln w="31750" cap="rnd">
            <a:solidFill>
              <a:schemeClr val="accent1"/>
            </a:solidFill>
            <a:round/>
          </a:ln>
          <a:effectLst/>
        </c:spPr>
        <c:marker>
          <c:symbol val="circle"/>
          <c:size val="17"/>
          <c:spPr>
            <a:solidFill>
              <a:schemeClr val="accent1">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ln w="31750" cap="rnd">
            <a:solidFill>
              <a:schemeClr val="accent1"/>
            </a:solidFill>
            <a:round/>
          </a:ln>
          <a:effectLst/>
        </c:spPr>
        <c:marker>
          <c:symbol val="circle"/>
          <c:size val="17"/>
          <c:spPr>
            <a:solidFill>
              <a:schemeClr val="accent2">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ln w="31750" cap="rnd">
            <a:solidFill>
              <a:schemeClr val="accent1"/>
            </a:solidFill>
            <a:round/>
          </a:ln>
          <a:effectLst/>
        </c:spPr>
        <c:marker>
          <c:symbol val="circle"/>
          <c:size val="17"/>
          <c:spPr>
            <a:solidFill>
              <a:schemeClr val="accent3">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ln w="31750" cap="rnd">
            <a:solidFill>
              <a:schemeClr val="accent1"/>
            </a:solidFill>
            <a:round/>
          </a:ln>
          <a:effectLst/>
        </c:spPr>
        <c:marker>
          <c:symbol val="circle"/>
          <c:size val="17"/>
          <c:spPr>
            <a:solidFill>
              <a:schemeClr val="accent4">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ln w="31750" cap="rnd">
            <a:solidFill>
              <a:schemeClr val="accent1"/>
            </a:solidFill>
            <a:round/>
          </a:ln>
          <a:effectLst/>
        </c:spPr>
        <c:marker>
          <c:symbol val="circle"/>
          <c:size val="17"/>
          <c:spPr>
            <a:solidFill>
              <a:schemeClr val="accent5">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ln w="31750" cap="rnd">
            <a:solidFill>
              <a:schemeClr val="accent1"/>
            </a:solidFill>
            <a:round/>
          </a:ln>
          <a:effectLst/>
        </c:spPr>
        <c:marker>
          <c:symbol val="circle"/>
          <c:size val="17"/>
          <c:spPr>
            <a:solidFill>
              <a:schemeClr val="accent6">
                <a:lumMod val="6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Tables'!$H$3:$H$4</c:f>
              <c:strCache>
                <c:ptCount val="1"/>
                <c:pt idx="0">
                  <c:v>Action RPG</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Tables'!$H$5:$H$10</c:f>
              <c:numCache>
                <c:formatCode>General</c:formatCode>
                <c:ptCount val="5"/>
              </c:numCache>
            </c:numRef>
          </c:val>
          <c:smooth val="0"/>
          <c:extLst>
            <c:ext xmlns:c16="http://schemas.microsoft.com/office/drawing/2014/chart" uri="{C3380CC4-5D6E-409C-BE32-E72D297353CC}">
              <c16:uniqueId val="{00000000-20CD-4E2F-B1E0-CD569454B36B}"/>
            </c:ext>
          </c:extLst>
        </c:ser>
        <c:ser>
          <c:idx val="1"/>
          <c:order val="1"/>
          <c:tx>
            <c:strRef>
              <c:f>'Pivot Tables'!$I$3:$I$4</c:f>
              <c:strCache>
                <c:ptCount val="1"/>
                <c:pt idx="0">
                  <c:v>Action-Adventure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Tables'!$I$5:$I$10</c:f>
              <c:numCache>
                <c:formatCode>General</c:formatCode>
                <c:ptCount val="5"/>
                <c:pt idx="0">
                  <c:v>12</c:v>
                </c:pt>
                <c:pt idx="1">
                  <c:v>26</c:v>
                </c:pt>
                <c:pt idx="2">
                  <c:v>8</c:v>
                </c:pt>
                <c:pt idx="3">
                  <c:v>24</c:v>
                </c:pt>
              </c:numCache>
            </c:numRef>
          </c:val>
          <c:smooth val="0"/>
          <c:extLst>
            <c:ext xmlns:c16="http://schemas.microsoft.com/office/drawing/2014/chart" uri="{C3380CC4-5D6E-409C-BE32-E72D297353CC}">
              <c16:uniqueId val="{00000001-20CD-4E2F-B1E0-CD569454B36B}"/>
            </c:ext>
          </c:extLst>
        </c:ser>
        <c:ser>
          <c:idx val="2"/>
          <c:order val="2"/>
          <c:tx>
            <c:strRef>
              <c:f>'Pivot Tables'!$J$3:$J$4</c:f>
              <c:strCache>
                <c:ptCount val="1"/>
                <c:pt idx="0">
                  <c:v>Action-RPG</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Tables'!$J$5:$J$10</c:f>
              <c:numCache>
                <c:formatCode>General</c:formatCode>
                <c:ptCount val="5"/>
                <c:pt idx="0">
                  <c:v>12</c:v>
                </c:pt>
                <c:pt idx="1">
                  <c:v>18</c:v>
                </c:pt>
                <c:pt idx="2">
                  <c:v>26</c:v>
                </c:pt>
                <c:pt idx="3">
                  <c:v>15</c:v>
                </c:pt>
                <c:pt idx="4">
                  <c:v>12</c:v>
                </c:pt>
              </c:numCache>
            </c:numRef>
          </c:val>
          <c:smooth val="0"/>
          <c:extLst>
            <c:ext xmlns:c16="http://schemas.microsoft.com/office/drawing/2014/chart" uri="{C3380CC4-5D6E-409C-BE32-E72D297353CC}">
              <c16:uniqueId val="{00000002-20CD-4E2F-B1E0-CD569454B36B}"/>
            </c:ext>
          </c:extLst>
        </c:ser>
        <c:ser>
          <c:idx val="3"/>
          <c:order val="3"/>
          <c:tx>
            <c:strRef>
              <c:f>'Pivot Tables'!$K$3:$K$4</c:f>
              <c:strCache>
                <c:ptCount val="1"/>
                <c:pt idx="0">
                  <c:v>Adventure</c:v>
                </c:pt>
              </c:strCache>
            </c:strRef>
          </c:tx>
          <c:spPr>
            <a:ln w="31750" cap="rnd">
              <a:solidFill>
                <a:schemeClr val="accent4"/>
              </a:solidFill>
              <a:round/>
            </a:ln>
            <a:effectLst/>
          </c:spPr>
          <c:marker>
            <c:symbol val="circle"/>
            <c:size val="17"/>
            <c:spPr>
              <a:solidFill>
                <a:schemeClr val="accent4"/>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Tables'!$K$5:$K$10</c:f>
              <c:numCache>
                <c:formatCode>General</c:formatCode>
                <c:ptCount val="5"/>
                <c:pt idx="2">
                  <c:v>2</c:v>
                </c:pt>
              </c:numCache>
            </c:numRef>
          </c:val>
          <c:smooth val="0"/>
          <c:extLst>
            <c:ext xmlns:c16="http://schemas.microsoft.com/office/drawing/2014/chart" uri="{C3380CC4-5D6E-409C-BE32-E72D297353CC}">
              <c16:uniqueId val="{00000003-20CD-4E2F-B1E0-CD569454B36B}"/>
            </c:ext>
          </c:extLst>
        </c:ser>
        <c:ser>
          <c:idx val="4"/>
          <c:order val="4"/>
          <c:tx>
            <c:strRef>
              <c:f>'Pivot Tables'!$L$3:$L$4</c:f>
              <c:strCache>
                <c:ptCount val="1"/>
                <c:pt idx="0">
                  <c:v>Exploration</c:v>
                </c:pt>
              </c:strCache>
            </c:strRef>
          </c:tx>
          <c:spPr>
            <a:ln w="31750" cap="rnd">
              <a:solidFill>
                <a:schemeClr val="accent5"/>
              </a:solidFill>
              <a:round/>
            </a:ln>
            <a:effectLst/>
          </c:spPr>
          <c:marker>
            <c:symbol val="circle"/>
            <c:size val="17"/>
            <c:spPr>
              <a:solidFill>
                <a:schemeClr val="accent5"/>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Tables'!$L$5:$L$10</c:f>
              <c:numCache>
                <c:formatCode>General</c:formatCode>
                <c:ptCount val="5"/>
                <c:pt idx="3">
                  <c:v>10</c:v>
                </c:pt>
                <c:pt idx="4">
                  <c:v>12</c:v>
                </c:pt>
              </c:numCache>
            </c:numRef>
          </c:val>
          <c:smooth val="0"/>
          <c:extLst>
            <c:ext xmlns:c16="http://schemas.microsoft.com/office/drawing/2014/chart" uri="{C3380CC4-5D6E-409C-BE32-E72D297353CC}">
              <c16:uniqueId val="{00000004-20CD-4E2F-B1E0-CD569454B36B}"/>
            </c:ext>
          </c:extLst>
        </c:ser>
        <c:ser>
          <c:idx val="5"/>
          <c:order val="5"/>
          <c:tx>
            <c:strRef>
              <c:f>'Pivot Tables'!$M$3:$M$4</c:f>
              <c:strCache>
                <c:ptCount val="1"/>
                <c:pt idx="0">
                  <c:v>FPS</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Tables'!$M$5:$M$10</c:f>
              <c:numCache>
                <c:formatCode>General</c:formatCode>
                <c:ptCount val="5"/>
                <c:pt idx="2">
                  <c:v>5</c:v>
                </c:pt>
                <c:pt idx="4">
                  <c:v>7</c:v>
                </c:pt>
              </c:numCache>
            </c:numRef>
          </c:val>
          <c:smooth val="0"/>
          <c:extLst>
            <c:ext xmlns:c16="http://schemas.microsoft.com/office/drawing/2014/chart" uri="{C3380CC4-5D6E-409C-BE32-E72D297353CC}">
              <c16:uniqueId val="{00000005-20CD-4E2F-B1E0-CD569454B36B}"/>
            </c:ext>
          </c:extLst>
        </c:ser>
        <c:ser>
          <c:idx val="6"/>
          <c:order val="6"/>
          <c:tx>
            <c:strRef>
              <c:f>'Pivot Tables'!$N$3:$N$4</c:f>
              <c:strCache>
                <c:ptCount val="1"/>
                <c:pt idx="0">
                  <c:v>Racing</c:v>
                </c:pt>
              </c:strCache>
            </c:strRef>
          </c:tx>
          <c:spPr>
            <a:ln w="31750" cap="rnd">
              <a:solidFill>
                <a:schemeClr val="accent1">
                  <a:lumMod val="60000"/>
                </a:schemeClr>
              </a:solidFill>
              <a:round/>
            </a:ln>
            <a:effectLst/>
          </c:spPr>
          <c:marker>
            <c:symbol val="circle"/>
            <c:size val="17"/>
            <c:spPr>
              <a:solidFill>
                <a:schemeClr val="accent1">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Tables'!$N$5:$N$10</c:f>
              <c:numCache>
                <c:formatCode>General</c:formatCode>
                <c:ptCount val="5"/>
                <c:pt idx="2">
                  <c:v>20</c:v>
                </c:pt>
                <c:pt idx="4">
                  <c:v>7</c:v>
                </c:pt>
              </c:numCache>
            </c:numRef>
          </c:val>
          <c:smooth val="0"/>
          <c:extLst>
            <c:ext xmlns:c16="http://schemas.microsoft.com/office/drawing/2014/chart" uri="{C3380CC4-5D6E-409C-BE32-E72D297353CC}">
              <c16:uniqueId val="{00000006-20CD-4E2F-B1E0-CD569454B36B}"/>
            </c:ext>
          </c:extLst>
        </c:ser>
        <c:ser>
          <c:idx val="7"/>
          <c:order val="7"/>
          <c:tx>
            <c:strRef>
              <c:f>'Pivot Tables'!$O$3:$O$4</c:f>
              <c:strCache>
                <c:ptCount val="1"/>
                <c:pt idx="0">
                  <c:v>RPG</c:v>
                </c:pt>
              </c:strCache>
            </c:strRef>
          </c:tx>
          <c:spPr>
            <a:ln w="31750" cap="rnd">
              <a:solidFill>
                <a:schemeClr val="accent2">
                  <a:lumMod val="60000"/>
                </a:schemeClr>
              </a:solidFill>
              <a:round/>
            </a:ln>
            <a:effectLst/>
          </c:spPr>
          <c:marker>
            <c:symbol val="circle"/>
            <c:size val="17"/>
            <c:spPr>
              <a:solidFill>
                <a:schemeClr val="accent2">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Tables'!$O$5:$O$10</c:f>
              <c:numCache>
                <c:formatCode>General</c:formatCode>
                <c:ptCount val="5"/>
              </c:numCache>
            </c:numRef>
          </c:val>
          <c:smooth val="0"/>
          <c:extLst>
            <c:ext xmlns:c16="http://schemas.microsoft.com/office/drawing/2014/chart" uri="{C3380CC4-5D6E-409C-BE32-E72D297353CC}">
              <c16:uniqueId val="{00000007-20CD-4E2F-B1E0-CD569454B36B}"/>
            </c:ext>
          </c:extLst>
        </c:ser>
        <c:ser>
          <c:idx val="8"/>
          <c:order val="8"/>
          <c:tx>
            <c:strRef>
              <c:f>'Pivot Tables'!$P$3:$P$4</c:f>
              <c:strCache>
                <c:ptCount val="1"/>
                <c:pt idx="0">
                  <c:v>Sandbox</c:v>
                </c:pt>
              </c:strCache>
            </c:strRef>
          </c:tx>
          <c:spPr>
            <a:ln w="31750" cap="rnd">
              <a:solidFill>
                <a:schemeClr val="accent3">
                  <a:lumMod val="60000"/>
                </a:schemeClr>
              </a:solidFill>
              <a:round/>
            </a:ln>
            <a:effectLst/>
          </c:spPr>
          <c:marker>
            <c:symbol val="circle"/>
            <c:size val="17"/>
            <c:spPr>
              <a:solidFill>
                <a:schemeClr val="accent3">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Tables'!$P$5:$P$10</c:f>
              <c:numCache>
                <c:formatCode>General</c:formatCode>
                <c:ptCount val="5"/>
                <c:pt idx="0">
                  <c:v>22</c:v>
                </c:pt>
              </c:numCache>
            </c:numRef>
          </c:val>
          <c:smooth val="0"/>
          <c:extLst>
            <c:ext xmlns:c16="http://schemas.microsoft.com/office/drawing/2014/chart" uri="{C3380CC4-5D6E-409C-BE32-E72D297353CC}">
              <c16:uniqueId val="{00000008-20CD-4E2F-B1E0-CD569454B36B}"/>
            </c:ext>
          </c:extLst>
        </c:ser>
        <c:ser>
          <c:idx val="9"/>
          <c:order val="9"/>
          <c:tx>
            <c:strRef>
              <c:f>'Pivot Tables'!$Q$3:$Q$4</c:f>
              <c:strCache>
                <c:ptCount val="1"/>
                <c:pt idx="0">
                  <c:v>Shooter</c:v>
                </c:pt>
              </c:strCache>
            </c:strRef>
          </c:tx>
          <c:spPr>
            <a:ln w="31750" cap="rnd">
              <a:solidFill>
                <a:schemeClr val="accent4">
                  <a:lumMod val="60000"/>
                </a:schemeClr>
              </a:solidFill>
              <a:round/>
            </a:ln>
            <a:effectLst/>
          </c:spPr>
          <c:marker>
            <c:symbol val="circle"/>
            <c:size val="17"/>
            <c:spPr>
              <a:solidFill>
                <a:schemeClr val="accent4">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Tables'!$Q$5:$Q$10</c:f>
              <c:numCache>
                <c:formatCode>General</c:formatCode>
                <c:ptCount val="5"/>
                <c:pt idx="3">
                  <c:v>10</c:v>
                </c:pt>
              </c:numCache>
            </c:numRef>
          </c:val>
          <c:smooth val="0"/>
          <c:extLst>
            <c:ext xmlns:c16="http://schemas.microsoft.com/office/drawing/2014/chart" uri="{C3380CC4-5D6E-409C-BE32-E72D297353CC}">
              <c16:uniqueId val="{00000009-20CD-4E2F-B1E0-CD569454B36B}"/>
            </c:ext>
          </c:extLst>
        </c:ser>
        <c:ser>
          <c:idx val="10"/>
          <c:order val="10"/>
          <c:tx>
            <c:strRef>
              <c:f>'Pivot Tables'!$R$3:$R$4</c:f>
              <c:strCache>
                <c:ptCount val="1"/>
                <c:pt idx="0">
                  <c:v>Sim/Space</c:v>
                </c:pt>
              </c:strCache>
            </c:strRef>
          </c:tx>
          <c:spPr>
            <a:ln w="31750" cap="rnd">
              <a:solidFill>
                <a:schemeClr val="accent5">
                  <a:lumMod val="60000"/>
                </a:schemeClr>
              </a:solidFill>
              <a:round/>
            </a:ln>
            <a:effectLst/>
          </c:spPr>
          <c:marker>
            <c:symbol val="circle"/>
            <c:size val="17"/>
            <c:spPr>
              <a:solidFill>
                <a:schemeClr val="accent5">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Tables'!$R$5:$R$10</c:f>
              <c:numCache>
                <c:formatCode>General</c:formatCode>
                <c:ptCount val="5"/>
              </c:numCache>
            </c:numRef>
          </c:val>
          <c:smooth val="0"/>
          <c:extLst>
            <c:ext xmlns:c16="http://schemas.microsoft.com/office/drawing/2014/chart" uri="{C3380CC4-5D6E-409C-BE32-E72D297353CC}">
              <c16:uniqueId val="{0000000A-20CD-4E2F-B1E0-CD569454B36B}"/>
            </c:ext>
          </c:extLst>
        </c:ser>
        <c:ser>
          <c:idx val="11"/>
          <c:order val="11"/>
          <c:tx>
            <c:strRef>
              <c:f>'Pivot Tables'!$S$3:$S$4</c:f>
              <c:strCache>
                <c:ptCount val="1"/>
                <c:pt idx="0">
                  <c:v>Survival</c:v>
                </c:pt>
              </c:strCache>
            </c:strRef>
          </c:tx>
          <c:spPr>
            <a:ln w="31750" cap="rnd">
              <a:solidFill>
                <a:schemeClr val="accent6">
                  <a:lumMod val="60000"/>
                </a:schemeClr>
              </a:solidFill>
              <a:round/>
            </a:ln>
            <a:effectLst/>
          </c:spPr>
          <c:marker>
            <c:symbol val="circle"/>
            <c:size val="17"/>
            <c:spPr>
              <a:solidFill>
                <a:schemeClr val="accent6">
                  <a:lumMod val="60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Tables'!$G$5:$G$10</c:f>
              <c:strCache>
                <c:ptCount val="5"/>
                <c:pt idx="0">
                  <c:v>2011</c:v>
                </c:pt>
                <c:pt idx="1">
                  <c:v>2015</c:v>
                </c:pt>
                <c:pt idx="2">
                  <c:v>2018</c:v>
                </c:pt>
                <c:pt idx="3">
                  <c:v>2019</c:v>
                </c:pt>
                <c:pt idx="4">
                  <c:v>2021</c:v>
                </c:pt>
              </c:strCache>
            </c:strRef>
          </c:cat>
          <c:val>
            <c:numRef>
              <c:f>'Pivot Tables'!$S$5:$S$10</c:f>
              <c:numCache>
                <c:formatCode>General</c:formatCode>
                <c:ptCount val="5"/>
                <c:pt idx="2">
                  <c:v>10</c:v>
                </c:pt>
                <c:pt idx="4">
                  <c:v>4</c:v>
                </c:pt>
              </c:numCache>
            </c:numRef>
          </c:val>
          <c:smooth val="0"/>
          <c:extLst>
            <c:ext xmlns:c16="http://schemas.microsoft.com/office/drawing/2014/chart" uri="{C3380CC4-5D6E-409C-BE32-E72D297353CC}">
              <c16:uniqueId val="{0000000B-20CD-4E2F-B1E0-CD569454B36B}"/>
            </c:ext>
          </c:extLst>
        </c:ser>
        <c:dLbls>
          <c:dLblPos val="ctr"/>
          <c:showLegendKey val="0"/>
          <c:showVal val="1"/>
          <c:showCatName val="0"/>
          <c:showSerName val="0"/>
          <c:showPercent val="0"/>
          <c:showBubbleSize val="0"/>
        </c:dLbls>
        <c:marker val="1"/>
        <c:smooth val="0"/>
        <c:axId val="1268075216"/>
        <c:axId val="1268075696"/>
      </c:lineChart>
      <c:catAx>
        <c:axId val="126807521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075696"/>
        <c:crosses val="autoZero"/>
        <c:auto val="1"/>
        <c:lblAlgn val="ctr"/>
        <c:lblOffset val="100"/>
        <c:noMultiLvlLbl val="0"/>
      </c:catAx>
      <c:valAx>
        <c:axId val="126807569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6807521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[Open_World_Games2.xlsx]Pivot Tables!Average Review Scores</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col"/>
        <c:grouping val="clustered"/>
        <c:varyColors val="0"/>
        <c:ser>
          <c:idx val="0"/>
          <c:order val="0"/>
          <c:tx>
            <c:strRef>
              <c:f>'Pivot Tables'!$B$47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trendline>
            <c:spPr>
              <a:ln w="19050" cap="rnd">
                <a:solidFill>
                  <a:schemeClr val="accent1"/>
                </a:solidFill>
              </a:ln>
              <a:effectLst/>
            </c:spPr>
            <c:trendlineType val="linear"/>
            <c:dispRSqr val="0"/>
            <c:dispEq val="0"/>
          </c:trendline>
          <c:cat>
            <c:multiLvlStrRef>
              <c:f>'Pivot Tables'!$A$48:$A$127</c:f>
              <c:multiLvlStrCache>
                <c:ptCount val="67"/>
                <c:lvl>
                  <c:pt idx="0">
                    <c:v>Dark Souls III</c:v>
                  </c:pt>
                  <c:pt idx="1">
                    <c:v>Elden Ring</c:v>
                  </c:pt>
                  <c:pt idx="2">
                    <c:v>Breath of the Wild</c:v>
                  </c:pt>
                  <c:pt idx="3">
                    <c:v>Days Gone</c:v>
                  </c:pt>
                  <c:pt idx="4">
                    <c:v>Death Stranding</c:v>
                  </c:pt>
                  <c:pt idx="5">
                    <c:v>Ghost of Tsushima</c:v>
                  </c:pt>
                  <c:pt idx="6">
                    <c:v>Grand Theft Auto IV</c:v>
                  </c:pt>
                  <c:pt idx="7">
                    <c:v>Grand Theft Auto V</c:v>
                  </c:pt>
                  <c:pt idx="8">
                    <c:v>GTA: San Andreas</c:v>
                  </c:pt>
                  <c:pt idx="9">
                    <c:v>GTA: Vice City</c:v>
                  </c:pt>
                  <c:pt idx="10">
                    <c:v>Just Cause 3</c:v>
                  </c:pt>
                  <c:pt idx="11">
                    <c:v>Just Cause 4</c:v>
                  </c:pt>
                  <c:pt idx="12">
                    <c:v>Mafia III</c:v>
                  </c:pt>
                  <c:pt idx="13">
                    <c:v>Metal Gear Solid V: The Phantom Pain</c:v>
                  </c:pt>
                  <c:pt idx="14">
                    <c:v>RDR</c:v>
                  </c:pt>
                  <c:pt idx="15">
                    <c:v>Red Dead Redemption 2</c:v>
                  </c:pt>
                  <c:pt idx="16">
                    <c:v>Saints Row: The Third</c:v>
                  </c:pt>
                  <c:pt idx="17">
                    <c:v>Sekiro: Shadows Die Twice</c:v>
                  </c:pt>
                  <c:pt idx="18">
                    <c:v>Shenmue III</c:v>
                  </c:pt>
                  <c:pt idx="19">
                    <c:v>Tears of the Kingdom</c:v>
                  </c:pt>
                  <c:pt idx="20">
                    <c:v>The Legend of Zelda: Breath of the Wild</c:v>
                  </c:pt>
                  <c:pt idx="21">
                    <c:v>The Legend of Zelda: Tears of the Kingdom</c:v>
                  </c:pt>
                  <c:pt idx="22">
                    <c:v>Watch Dogs 2</c:v>
                  </c:pt>
                  <c:pt idx="23">
                    <c:v>Watch Dogs: Legion</c:v>
                  </c:pt>
                  <c:pt idx="24">
                    <c:v>Yakuza 0</c:v>
                  </c:pt>
                  <c:pt idx="25">
                    <c:v>Assassin's Creed Odyssey</c:v>
                  </c:pt>
                  <c:pt idx="26">
                    <c:v>Assassin's Creed Origins</c:v>
                  </c:pt>
                  <c:pt idx="27">
                    <c:v>Assassin's Creed Valhalla</c:v>
                  </c:pt>
                  <c:pt idx="28">
                    <c:v>Biomutant</c:v>
                  </c:pt>
                  <c:pt idx="29">
                    <c:v>Cyberpunk 2077</c:v>
                  </c:pt>
                  <c:pt idx="30">
                    <c:v>Dragon's Dogma</c:v>
                  </c:pt>
                  <c:pt idx="31">
                    <c:v>Dragon's Dogma 2</c:v>
                  </c:pt>
                  <c:pt idx="32">
                    <c:v>Fallout 3</c:v>
                  </c:pt>
                  <c:pt idx="33">
                    <c:v>Fallout 4</c:v>
                  </c:pt>
                  <c:pt idx="34">
                    <c:v>Fallout: New Vegas</c:v>
                  </c:pt>
                  <c:pt idx="35">
                    <c:v>GreedFall</c:v>
                  </c:pt>
                  <c:pt idx="36">
                    <c:v>Horizon Forbidden West</c:v>
                  </c:pt>
                  <c:pt idx="37">
                    <c:v>Horizon Zero Dawn</c:v>
                  </c:pt>
                  <c:pt idx="38">
                    <c:v>Kingdom Come: Deliverance</c:v>
                  </c:pt>
                  <c:pt idx="39">
                    <c:v>Kingdoms of Amalur: Reckoning</c:v>
                  </c:pt>
                  <c:pt idx="40">
                    <c:v>Monster Hunter: World</c:v>
                  </c:pt>
                  <c:pt idx="41">
                    <c:v>Skyrim</c:v>
                  </c:pt>
                  <c:pt idx="42">
                    <c:v>Skyrim Special Edition</c:v>
                  </c:pt>
                  <c:pt idx="43">
                    <c:v>The Elder Scrolls V: Skyrim</c:v>
                  </c:pt>
                  <c:pt idx="44">
                    <c:v>The Outer Worlds</c:v>
                  </c:pt>
                  <c:pt idx="45">
                    <c:v>The Witcher 3: Wild Hunt</c:v>
                  </c:pt>
                  <c:pt idx="46">
                    <c:v>Sea of Thieves</c:v>
                  </c:pt>
                  <c:pt idx="47">
                    <c:v>No Man's Sky</c:v>
                  </c:pt>
                  <c:pt idx="48">
                    <c:v>Outer Wilds</c:v>
                  </c:pt>
                  <c:pt idx="49">
                    <c:v>Sable</c:v>
                  </c:pt>
                  <c:pt idx="50">
                    <c:v>Far Cry 3</c:v>
                  </c:pt>
                  <c:pt idx="51">
                    <c:v>Far Cry 4</c:v>
                  </c:pt>
                  <c:pt idx="52">
                    <c:v>Far Cry 5</c:v>
                  </c:pt>
                  <c:pt idx="53">
                    <c:v>Far Cry 6</c:v>
                  </c:pt>
                  <c:pt idx="54">
                    <c:v>Burnout Paradise Remastered</c:v>
                  </c:pt>
                  <c:pt idx="55">
                    <c:v>Forza Horizon 4</c:v>
                  </c:pt>
                  <c:pt idx="56">
                    <c:v>Forza Horizon 5</c:v>
                  </c:pt>
                  <c:pt idx="57">
                    <c:v>The Crew 2</c:v>
                  </c:pt>
                  <c:pt idx="58">
                    <c:v>Yakuza: Like a Dragon</c:v>
                  </c:pt>
                  <c:pt idx="59">
                    <c:v>Minecraft</c:v>
                  </c:pt>
                  <c:pt idx="60">
                    <c:v>Metro Exodus</c:v>
                  </c:pt>
                  <c:pt idx="61">
                    <c:v>Elite Dangerous</c:v>
                  </c:pt>
                  <c:pt idx="62">
                    <c:v>Palworld</c:v>
                  </c:pt>
                  <c:pt idx="63">
                    <c:v>S.T.A.L.K.E.R.: Shadow of Chernobyl</c:v>
                  </c:pt>
                  <c:pt idx="64">
                    <c:v>State of Decay 2</c:v>
                  </c:pt>
                  <c:pt idx="65">
                    <c:v>Subnautica</c:v>
                  </c:pt>
                  <c:pt idx="66">
                    <c:v>Subnautica: Below Zero</c:v>
                  </c:pt>
                </c:lvl>
                <c:lvl>
                  <c:pt idx="0">
                    <c:v>Action RPG</c:v>
                  </c:pt>
                  <c:pt idx="2">
                    <c:v>Action-Adventure</c:v>
                  </c:pt>
                  <c:pt idx="25">
                    <c:v>Action-RPG</c:v>
                  </c:pt>
                  <c:pt idx="46">
                    <c:v>Adventure</c:v>
                  </c:pt>
                  <c:pt idx="47">
                    <c:v>Exploration</c:v>
                  </c:pt>
                  <c:pt idx="50">
                    <c:v>FPS</c:v>
                  </c:pt>
                  <c:pt idx="54">
                    <c:v>Racing</c:v>
                  </c:pt>
                  <c:pt idx="58">
                    <c:v>RPG</c:v>
                  </c:pt>
                  <c:pt idx="59">
                    <c:v>Sandbox</c:v>
                  </c:pt>
                  <c:pt idx="60">
                    <c:v>Shooter</c:v>
                  </c:pt>
                  <c:pt idx="61">
                    <c:v>Sim/Space</c:v>
                  </c:pt>
                  <c:pt idx="62">
                    <c:v>Survival</c:v>
                  </c:pt>
                </c:lvl>
              </c:multiLvlStrCache>
            </c:multiLvlStrRef>
          </c:cat>
          <c:val>
            <c:numRef>
              <c:f>'Pivot Tables'!$B$48:$B$127</c:f>
              <c:numCache>
                <c:formatCode>General</c:formatCode>
                <c:ptCount val="67"/>
                <c:pt idx="0">
                  <c:v>83.333333333333329</c:v>
                </c:pt>
                <c:pt idx="1">
                  <c:v>84.25</c:v>
                </c:pt>
                <c:pt idx="2">
                  <c:v>91</c:v>
                </c:pt>
                <c:pt idx="3">
                  <c:v>93.5</c:v>
                </c:pt>
                <c:pt idx="4">
                  <c:v>77.666666666666671</c:v>
                </c:pt>
                <c:pt idx="5">
                  <c:v>79.25</c:v>
                </c:pt>
                <c:pt idx="6">
                  <c:v>80.599999999999994</c:v>
                </c:pt>
                <c:pt idx="7">
                  <c:v>76.727272727272734</c:v>
                </c:pt>
                <c:pt idx="8">
                  <c:v>72.7</c:v>
                </c:pt>
                <c:pt idx="9">
                  <c:v>77.833333333333329</c:v>
                </c:pt>
                <c:pt idx="10">
                  <c:v>84.4</c:v>
                </c:pt>
                <c:pt idx="11">
                  <c:v>75.333333333333329</c:v>
                </c:pt>
                <c:pt idx="12">
                  <c:v>77.666666666666671</c:v>
                </c:pt>
                <c:pt idx="13">
                  <c:v>85.7</c:v>
                </c:pt>
                <c:pt idx="14">
                  <c:v>88.4</c:v>
                </c:pt>
                <c:pt idx="15">
                  <c:v>77</c:v>
                </c:pt>
                <c:pt idx="16">
                  <c:v>85.916666666666671</c:v>
                </c:pt>
                <c:pt idx="17">
                  <c:v>75.5</c:v>
                </c:pt>
                <c:pt idx="18">
                  <c:v>77.5</c:v>
                </c:pt>
                <c:pt idx="19">
                  <c:v>87</c:v>
                </c:pt>
                <c:pt idx="20">
                  <c:v>90.333333333333329</c:v>
                </c:pt>
                <c:pt idx="21">
                  <c:v>75.5</c:v>
                </c:pt>
                <c:pt idx="22">
                  <c:v>83.666666666666671</c:v>
                </c:pt>
                <c:pt idx="23">
                  <c:v>87.07692307692308</c:v>
                </c:pt>
                <c:pt idx="24">
                  <c:v>74</c:v>
                </c:pt>
                <c:pt idx="25">
                  <c:v>72.111111111111114</c:v>
                </c:pt>
                <c:pt idx="26">
                  <c:v>71.07692307692308</c:v>
                </c:pt>
                <c:pt idx="27">
                  <c:v>80</c:v>
                </c:pt>
                <c:pt idx="28">
                  <c:v>87.166666666666671</c:v>
                </c:pt>
                <c:pt idx="29">
                  <c:v>78.599999999999994</c:v>
                </c:pt>
                <c:pt idx="30">
                  <c:v>88.571428571428569</c:v>
                </c:pt>
                <c:pt idx="31">
                  <c:v>78.166666666666671</c:v>
                </c:pt>
                <c:pt idx="32">
                  <c:v>67.666666666666671</c:v>
                </c:pt>
                <c:pt idx="33">
                  <c:v>72.900000000000006</c:v>
                </c:pt>
                <c:pt idx="34">
                  <c:v>77.25</c:v>
                </c:pt>
                <c:pt idx="35">
                  <c:v>74.5</c:v>
                </c:pt>
                <c:pt idx="36">
                  <c:v>67.666666666666671</c:v>
                </c:pt>
                <c:pt idx="37">
                  <c:v>85</c:v>
                </c:pt>
                <c:pt idx="38">
                  <c:v>75.875</c:v>
                </c:pt>
                <c:pt idx="39">
                  <c:v>80</c:v>
                </c:pt>
                <c:pt idx="40">
                  <c:v>69.888888888888886</c:v>
                </c:pt>
                <c:pt idx="41">
                  <c:v>98</c:v>
                </c:pt>
                <c:pt idx="42">
                  <c:v>82</c:v>
                </c:pt>
                <c:pt idx="43">
                  <c:v>76.111111111111114</c:v>
                </c:pt>
                <c:pt idx="44">
                  <c:v>88.888888888888886</c:v>
                </c:pt>
                <c:pt idx="45">
                  <c:v>76.125</c:v>
                </c:pt>
                <c:pt idx="46">
                  <c:v>76.5</c:v>
                </c:pt>
                <c:pt idx="47">
                  <c:v>78.2</c:v>
                </c:pt>
                <c:pt idx="48">
                  <c:v>78.2</c:v>
                </c:pt>
                <c:pt idx="49">
                  <c:v>82.916666666666671</c:v>
                </c:pt>
                <c:pt idx="50">
                  <c:v>85.333333333333329</c:v>
                </c:pt>
                <c:pt idx="51">
                  <c:v>82.181818181818187</c:v>
                </c:pt>
                <c:pt idx="52">
                  <c:v>73.400000000000006</c:v>
                </c:pt>
                <c:pt idx="53">
                  <c:v>80</c:v>
                </c:pt>
                <c:pt idx="54">
                  <c:v>82.333333333333329</c:v>
                </c:pt>
                <c:pt idx="55">
                  <c:v>79.400000000000006</c:v>
                </c:pt>
                <c:pt idx="56">
                  <c:v>82.285714285714292</c:v>
                </c:pt>
                <c:pt idx="57">
                  <c:v>84.166666666666671</c:v>
                </c:pt>
                <c:pt idx="58">
                  <c:v>75.666666666666671</c:v>
                </c:pt>
                <c:pt idx="59">
                  <c:v>84.86363636363636</c:v>
                </c:pt>
                <c:pt idx="60">
                  <c:v>74.5</c:v>
                </c:pt>
                <c:pt idx="61">
                  <c:v>84.1</c:v>
                </c:pt>
                <c:pt idx="62">
                  <c:v>84.666666666666671</c:v>
                </c:pt>
                <c:pt idx="63">
                  <c:v>81</c:v>
                </c:pt>
                <c:pt idx="64">
                  <c:v>85.333333333333329</c:v>
                </c:pt>
                <c:pt idx="65">
                  <c:v>83.714285714285708</c:v>
                </c:pt>
                <c:pt idx="66">
                  <c:v>80.75</c:v>
                </c:pt>
              </c:numCache>
            </c:numRef>
          </c:val>
          <c:extLst>
            <c:ext xmlns:c16="http://schemas.microsoft.com/office/drawing/2014/chart" uri="{C3380CC4-5D6E-409C-BE32-E72D297353CC}">
              <c16:uniqueId val="{00000000-9F7F-402C-84C4-16C277459A59}"/>
            </c:ext>
          </c:extLst>
        </c:ser>
        <c:dLbls>
          <c:dLblPos val="outEnd"/>
          <c:showLegendKey val="0"/>
          <c:showVal val="0"/>
          <c:showCatName val="0"/>
          <c:showSerName val="0"/>
          <c:showPercent val="0"/>
          <c:showBubbleSize val="0"/>
        </c:dLbls>
        <c:gapWidth val="65"/>
        <c:axId val="2054863184"/>
        <c:axId val="2054866064"/>
      </c:barChart>
      <c:catAx>
        <c:axId val="2054863184"/>
        <c:scaling>
          <c:orientation val="minMax"/>
        </c:scaling>
        <c:delete val="1"/>
        <c:axPos val="b"/>
        <c:numFmt formatCode="General" sourceLinked="1"/>
        <c:majorTickMark val="out"/>
        <c:minorTickMark val="none"/>
        <c:tickLblPos val="nextTo"/>
        <c:crossAx val="2054866064"/>
        <c:crosses val="autoZero"/>
        <c:auto val="1"/>
        <c:lblAlgn val="ctr"/>
        <c:lblOffset val="100"/>
        <c:noMultiLvlLbl val="0"/>
      </c:catAx>
      <c:valAx>
        <c:axId val="2054866064"/>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54863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[Open_World_Games2.xlsx]Pivot Tables!Platform Popularity</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
        <c:idx val="21"/>
        <c:spPr>
          <a:solidFill>
            <a:schemeClr val="accent1"/>
          </a:solidFill>
          <a:ln>
            <a:noFill/>
          </a:ln>
          <a:effectLst>
            <a:outerShdw blurRad="254000" sx="102000" sy="102000" algn="ctr" rotWithShape="0">
              <a:prstClr val="black">
                <a:alpha val="20000"/>
              </a:prstClr>
            </a:outerShdw>
          </a:effectLst>
        </c:spPr>
      </c:pivotFmt>
      <c:pivotFmt>
        <c:idx val="22"/>
        <c:spPr>
          <a:solidFill>
            <a:schemeClr val="accent1"/>
          </a:solidFill>
          <a:ln>
            <a:noFill/>
          </a:ln>
          <a:effectLst>
            <a:outerShdw blurRad="254000" sx="102000" sy="102000" algn="ctr" rotWithShape="0">
              <a:prstClr val="black">
                <a:alpha val="20000"/>
              </a:prstClr>
            </a:outerShdw>
          </a:effectLst>
        </c:spPr>
      </c:pivotFmt>
      <c:pivotFmt>
        <c:idx val="23"/>
        <c:spPr>
          <a:solidFill>
            <a:schemeClr val="accent1"/>
          </a:solidFill>
          <a:ln>
            <a:noFill/>
          </a:ln>
          <a:effectLst>
            <a:outerShdw blurRad="254000" sx="102000" sy="102000" algn="ctr" rotWithShape="0">
              <a:prstClr val="black">
                <a:alpha val="20000"/>
              </a:prstClr>
            </a:outerShdw>
          </a:effectLst>
        </c:spPr>
      </c:pivotFmt>
      <c:pivotFmt>
        <c:idx val="24"/>
        <c:spPr>
          <a:solidFill>
            <a:schemeClr val="accent1"/>
          </a:solidFill>
          <a:ln>
            <a:noFill/>
          </a:ln>
          <a:effectLst>
            <a:outerShdw blurRad="254000" sx="102000" sy="102000" algn="ctr" rotWithShape="0">
              <a:prstClr val="black">
                <a:alpha val="20000"/>
              </a:prstClr>
            </a:outerShdw>
          </a:effectLst>
        </c:spPr>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Tables'!$E$47</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A12-4AE9-87A8-5B71FC1D76A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A12-4AE9-87A8-5B71FC1D76A1}"/>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A12-4AE9-87A8-5B71FC1D76A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FA12-4AE9-87A8-5B71FC1D76A1}"/>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FA12-4AE9-87A8-5B71FC1D76A1}"/>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FA12-4AE9-87A8-5B71FC1D76A1}"/>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FA12-4AE9-87A8-5B71FC1D76A1}"/>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FA12-4AE9-87A8-5B71FC1D76A1}"/>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FA12-4AE9-87A8-5B71FC1D76A1}"/>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FA12-4AE9-87A8-5B71FC1D76A1}"/>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FA12-4AE9-87A8-5B71FC1D76A1}"/>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FA12-4AE9-87A8-5B71FC1D76A1}"/>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FA12-4AE9-87A8-5B71FC1D76A1}"/>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Tables'!$D$48:$D$61</c:f>
              <c:strCache>
                <c:ptCount val="13"/>
                <c:pt idx="0">
                  <c:v>Mobile</c:v>
                </c:pt>
                <c:pt idx="1">
                  <c:v>Multiple</c:v>
                </c:pt>
                <c:pt idx="2">
                  <c:v>PC</c:v>
                </c:pt>
                <c:pt idx="3">
                  <c:v>PS2</c:v>
                </c:pt>
                <c:pt idx="4">
                  <c:v>PS3</c:v>
                </c:pt>
                <c:pt idx="5">
                  <c:v>PS4</c:v>
                </c:pt>
                <c:pt idx="6">
                  <c:v>PS5</c:v>
                </c:pt>
                <c:pt idx="7">
                  <c:v>Switch</c:v>
                </c:pt>
                <c:pt idx="8">
                  <c:v>Wii U</c:v>
                </c:pt>
                <c:pt idx="9">
                  <c:v>Xbox</c:v>
                </c:pt>
                <c:pt idx="10">
                  <c:v>Xbox 360</c:v>
                </c:pt>
                <c:pt idx="11">
                  <c:v>Xbox One</c:v>
                </c:pt>
                <c:pt idx="12">
                  <c:v>Xbox Series X/S</c:v>
                </c:pt>
              </c:strCache>
            </c:strRef>
          </c:cat>
          <c:val>
            <c:numRef>
              <c:f>'Pivot Tables'!$E$48:$E$61</c:f>
              <c:numCache>
                <c:formatCode>General</c:formatCode>
                <c:ptCount val="13"/>
                <c:pt idx="0">
                  <c:v>2</c:v>
                </c:pt>
                <c:pt idx="1">
                  <c:v>3</c:v>
                </c:pt>
                <c:pt idx="2">
                  <c:v>131</c:v>
                </c:pt>
                <c:pt idx="3">
                  <c:v>4</c:v>
                </c:pt>
                <c:pt idx="4">
                  <c:v>33</c:v>
                </c:pt>
                <c:pt idx="5">
                  <c:v>117</c:v>
                </c:pt>
                <c:pt idx="6">
                  <c:v>38</c:v>
                </c:pt>
                <c:pt idx="7">
                  <c:v>28</c:v>
                </c:pt>
                <c:pt idx="8">
                  <c:v>6</c:v>
                </c:pt>
                <c:pt idx="9">
                  <c:v>4</c:v>
                </c:pt>
                <c:pt idx="10">
                  <c:v>22</c:v>
                </c:pt>
                <c:pt idx="11">
                  <c:v>96</c:v>
                </c:pt>
                <c:pt idx="12">
                  <c:v>16</c:v>
                </c:pt>
              </c:numCache>
            </c:numRef>
          </c:val>
          <c:extLst>
            <c:ext xmlns:c16="http://schemas.microsoft.com/office/drawing/2014/chart" uri="{C3380CC4-5D6E-409C-BE32-E72D297353CC}">
              <c16:uniqueId val="{0000001A-FA12-4AE9-87A8-5B71FC1D76A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[Open_World_Games2.xlsx]Pivot Tables!Top Developers by Rating</c:name>
    <c:fmtId val="3"/>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'Pivot Tables'!$H$47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cat>
            <c:strRef>
              <c:f>'Pivot Tables'!$G$48:$G$87</c:f>
              <c:strCache>
                <c:ptCount val="39"/>
                <c:pt idx="0">
                  <c:v>Ys Net</c:v>
                </c:pt>
                <c:pt idx="1">
                  <c:v>Warhorse Studios</c:v>
                </c:pt>
                <c:pt idx="2">
                  <c:v>Volition</c:v>
                </c:pt>
                <c:pt idx="3">
                  <c:v>Unknown Worlds Entertainment</c:v>
                </c:pt>
                <c:pt idx="4">
                  <c:v>Undead Labs</c:v>
                </c:pt>
                <c:pt idx="5">
                  <c:v>Ubisoft Toronto</c:v>
                </c:pt>
                <c:pt idx="6">
                  <c:v>Ubisoft Quebec</c:v>
                </c:pt>
                <c:pt idx="7">
                  <c:v>Ubisoft Montreal</c:v>
                </c:pt>
                <c:pt idx="8">
                  <c:v>Sucker Punch Productions</c:v>
                </c:pt>
                <c:pt idx="9">
                  <c:v>Spiders</c:v>
                </c:pt>
                <c:pt idx="10">
                  <c:v>Shedworks</c:v>
                </c:pt>
                <c:pt idx="11">
                  <c:v>Ryu Ga Gotoku Studio</c:v>
                </c:pt>
                <c:pt idx="12">
                  <c:v>Rockstar Studios</c:v>
                </c:pt>
                <c:pt idx="13">
                  <c:v>Rockstar San Diego</c:v>
                </c:pt>
                <c:pt idx="14">
                  <c:v>Rockstar North</c:v>
                </c:pt>
                <c:pt idx="15">
                  <c:v>Rare</c:v>
                </c:pt>
                <c:pt idx="16">
                  <c:v>Pocketpair</c:v>
                </c:pt>
                <c:pt idx="17">
                  <c:v>Playground Games</c:v>
                </c:pt>
                <c:pt idx="18">
                  <c:v>Obsidian Entertainment</c:v>
                </c:pt>
                <c:pt idx="19">
                  <c:v>Nintendo EPD</c:v>
                </c:pt>
                <c:pt idx="20">
                  <c:v>Mojang Studios</c:v>
                </c:pt>
                <c:pt idx="21">
                  <c:v>Mobius Digital</c:v>
                </c:pt>
                <c:pt idx="22">
                  <c:v>Kojima Productions</c:v>
                </c:pt>
                <c:pt idx="23">
                  <c:v>Ivory Tower</c:v>
                </c:pt>
                <c:pt idx="24">
                  <c:v>Hello Games</c:v>
                </c:pt>
                <c:pt idx="25">
                  <c:v>Hangar 13</c:v>
                </c:pt>
                <c:pt idx="26">
                  <c:v>Guerrilla Games</c:v>
                </c:pt>
                <c:pt idx="27">
                  <c:v>GSC Game World</c:v>
                </c:pt>
                <c:pt idx="28">
                  <c:v>Frontier Developments</c:v>
                </c:pt>
                <c:pt idx="29">
                  <c:v>FromSoftware</c:v>
                </c:pt>
                <c:pt idx="30">
                  <c:v>Experiment 101</c:v>
                </c:pt>
                <c:pt idx="31">
                  <c:v>Criterion Games</c:v>
                </c:pt>
                <c:pt idx="32">
                  <c:v>CD Projekt Red</c:v>
                </c:pt>
                <c:pt idx="33">
                  <c:v>Capcom</c:v>
                </c:pt>
                <c:pt idx="34">
                  <c:v>Bethesda Game Studios</c:v>
                </c:pt>
                <c:pt idx="35">
                  <c:v>Bend Studio</c:v>
                </c:pt>
                <c:pt idx="36">
                  <c:v>Avalanche Studios</c:v>
                </c:pt>
                <c:pt idx="37">
                  <c:v>4A Games</c:v>
                </c:pt>
                <c:pt idx="38">
                  <c:v>38 Studios</c:v>
                </c:pt>
              </c:strCache>
            </c:strRef>
          </c:cat>
          <c:val>
            <c:numRef>
              <c:f>'Pivot Tables'!$H$48:$H$87</c:f>
              <c:numCache>
                <c:formatCode>General</c:formatCode>
                <c:ptCount val="39"/>
                <c:pt idx="0">
                  <c:v>77.5</c:v>
                </c:pt>
                <c:pt idx="1">
                  <c:v>75.875</c:v>
                </c:pt>
                <c:pt idx="2">
                  <c:v>85.916666666666671</c:v>
                </c:pt>
                <c:pt idx="3">
                  <c:v>82.63636363636364</c:v>
                </c:pt>
                <c:pt idx="4">
                  <c:v>85.333333333333329</c:v>
                </c:pt>
                <c:pt idx="5">
                  <c:v>84.6</c:v>
                </c:pt>
                <c:pt idx="6">
                  <c:v>72.111111111111114</c:v>
                </c:pt>
                <c:pt idx="7">
                  <c:v>79.275862068965523</c:v>
                </c:pt>
                <c:pt idx="8">
                  <c:v>79.25</c:v>
                </c:pt>
                <c:pt idx="9">
                  <c:v>74.5</c:v>
                </c:pt>
                <c:pt idx="10">
                  <c:v>82.916666666666671</c:v>
                </c:pt>
                <c:pt idx="11">
                  <c:v>74.588235294117652</c:v>
                </c:pt>
                <c:pt idx="12">
                  <c:v>77</c:v>
                </c:pt>
                <c:pt idx="13">
                  <c:v>88.4</c:v>
                </c:pt>
                <c:pt idx="14">
                  <c:v>76.86486486486487</c:v>
                </c:pt>
                <c:pt idx="15">
                  <c:v>76.5</c:v>
                </c:pt>
                <c:pt idx="16">
                  <c:v>84.666666666666671</c:v>
                </c:pt>
                <c:pt idx="17">
                  <c:v>81.083333333333329</c:v>
                </c:pt>
                <c:pt idx="18">
                  <c:v>85.307692307692307</c:v>
                </c:pt>
                <c:pt idx="19">
                  <c:v>88</c:v>
                </c:pt>
                <c:pt idx="20">
                  <c:v>84.86363636363636</c:v>
                </c:pt>
                <c:pt idx="21">
                  <c:v>78.2</c:v>
                </c:pt>
                <c:pt idx="22">
                  <c:v>81.318181818181813</c:v>
                </c:pt>
                <c:pt idx="23">
                  <c:v>84.166666666666671</c:v>
                </c:pt>
                <c:pt idx="24">
                  <c:v>78.2</c:v>
                </c:pt>
                <c:pt idx="25">
                  <c:v>77.666666666666671</c:v>
                </c:pt>
                <c:pt idx="26">
                  <c:v>76.333333333333329</c:v>
                </c:pt>
                <c:pt idx="27">
                  <c:v>81</c:v>
                </c:pt>
                <c:pt idx="28">
                  <c:v>84.1</c:v>
                </c:pt>
                <c:pt idx="29">
                  <c:v>82.9</c:v>
                </c:pt>
                <c:pt idx="30">
                  <c:v>87.166666666666671</c:v>
                </c:pt>
                <c:pt idx="31">
                  <c:v>82.333333333333329</c:v>
                </c:pt>
                <c:pt idx="32">
                  <c:v>77.5</c:v>
                </c:pt>
                <c:pt idx="33">
                  <c:v>78.090909090909093</c:v>
                </c:pt>
                <c:pt idx="34">
                  <c:v>77.65625</c:v>
                </c:pt>
                <c:pt idx="35">
                  <c:v>93.5</c:v>
                </c:pt>
                <c:pt idx="36">
                  <c:v>81</c:v>
                </c:pt>
                <c:pt idx="37">
                  <c:v>74.5</c:v>
                </c:pt>
                <c:pt idx="38">
                  <c:v>80</c:v>
                </c:pt>
              </c:numCache>
            </c:numRef>
          </c:val>
          <c:extLst>
            <c:ext xmlns:c16="http://schemas.microsoft.com/office/drawing/2014/chart" uri="{C3380CC4-5D6E-409C-BE32-E72D297353CC}">
              <c16:uniqueId val="{00000000-2AFA-4F74-96F7-DCCD9559FE52}"/>
            </c:ext>
          </c:extLst>
        </c:ser>
        <c:dLbls>
          <c:dLblPos val="inEnd"/>
          <c:showLegendKey val="0"/>
          <c:showVal val="0"/>
          <c:showCatName val="0"/>
          <c:showSerName val="0"/>
          <c:showPercent val="0"/>
          <c:showBubbleSize val="0"/>
        </c:dLbls>
        <c:gapWidth val="65"/>
        <c:axId val="2054858864"/>
        <c:axId val="2054880944"/>
      </c:barChart>
      <c:catAx>
        <c:axId val="2054858864"/>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54880944"/>
        <c:crosses val="autoZero"/>
        <c:auto val="1"/>
        <c:lblAlgn val="ctr"/>
        <c:lblOffset val="100"/>
        <c:noMultiLvlLbl val="0"/>
      </c:catAx>
      <c:valAx>
        <c:axId val="205488094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54858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400050</xdr:colOff>
      <xdr:row>24</xdr:row>
      <xdr:rowOff>66675</xdr:rowOff>
    </xdr:from>
    <xdr:to>
      <xdr:col>0</xdr:col>
      <xdr:colOff>2228850</xdr:colOff>
      <xdr:row>37</xdr:row>
      <xdr:rowOff>114300</xdr:rowOff>
    </xdr:to>
    <mc:AlternateContent xmlns:mc="http://schemas.openxmlformats.org/markup-compatibility/2006" xmlns:a14="http://schemas.microsoft.com/office/drawing/2010/main">
      <mc:Choice Requires="a14">
        <xdr:graphicFrame macro="">
          <xdr:nvGraphicFramePr>
            <xdr:cNvPr id="2" name="Developer">
              <a:extLst>
                <a:ext uri="{FF2B5EF4-FFF2-40B4-BE49-F238E27FC236}">
                  <a16:creationId xmlns:a16="http://schemas.microsoft.com/office/drawing/2014/main" id="{7CDDE307-88B4-413B-BAE9-17530F3569EA}"/>
                </a:ext>
              </a:extLst>
            </xdr:cNvPr>
            <xdr:cNvGraphicFramePr/>
          </xdr:nvGraphicFramePr>
          <xdr:xfrm>
            <a:off x="0" y="0"/>
            <a:ext cx="0" cy="0"/>
          </xdr:xfrm>
          <a:graphic>
            <a:graphicData uri="http://schemas.microsoft.com/office/drawing/2010/slicer">
              <sle:slicer xmlns:sle="http://schemas.microsoft.com/office/drawing/2010/slicer" name="Developer"/>
            </a:graphicData>
          </a:graphic>
        </xdr:graphicFrame>
      </mc:Choice>
      <mc:Fallback xmlns="">
        <xdr:sp macro="" textlink="">
          <xdr:nvSpPr>
            <xdr:cNvPr id="0" name=""/>
            <xdr:cNvSpPr>
              <a:spLocks noTextEdit="1"/>
            </xdr:cNvSpPr>
          </xdr:nvSpPr>
          <xdr:spPr>
            <a:xfrm>
              <a:off x="400050" y="46386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219075</xdr:colOff>
      <xdr:row>24</xdr:row>
      <xdr:rowOff>76200</xdr:rowOff>
    </xdr:from>
    <xdr:to>
      <xdr:col>2</xdr:col>
      <xdr:colOff>285750</xdr:colOff>
      <xdr:row>37</xdr:row>
      <xdr:rowOff>123825</xdr:rowOff>
    </xdr:to>
    <mc:AlternateContent xmlns:mc="http://schemas.openxmlformats.org/markup-compatibility/2006" xmlns:a14="http://schemas.microsoft.com/office/drawing/2010/main">
      <mc:Choice Requires="a14">
        <xdr:graphicFrame macro="">
          <xdr:nvGraphicFramePr>
            <xdr:cNvPr id="3" name="Release_Year">
              <a:extLst>
                <a:ext uri="{FF2B5EF4-FFF2-40B4-BE49-F238E27FC236}">
                  <a16:creationId xmlns:a16="http://schemas.microsoft.com/office/drawing/2014/main" id="{6AFA12A5-AD3A-9BFD-0DEE-D8EA085399BD}"/>
                </a:ext>
              </a:extLst>
            </xdr:cNvP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mlns="">
        <xdr:sp macro="" textlink="">
          <xdr:nvSpPr>
            <xdr:cNvPr id="0" name=""/>
            <xdr:cNvSpPr>
              <a:spLocks noTextEdit="1"/>
            </xdr:cNvSpPr>
          </xdr:nvSpPr>
          <xdr:spPr>
            <a:xfrm>
              <a:off x="3095625" y="4648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485775</xdr:colOff>
      <xdr:row>25</xdr:row>
      <xdr:rowOff>152400</xdr:rowOff>
    </xdr:from>
    <xdr:to>
      <xdr:col>7</xdr:col>
      <xdr:colOff>400050</xdr:colOff>
      <xdr:row>39</xdr:row>
      <xdr:rowOff>9525</xdr:rowOff>
    </xdr:to>
    <mc:AlternateContent xmlns:mc="http://schemas.openxmlformats.org/markup-compatibility/2006" xmlns:a14="http://schemas.microsoft.com/office/drawing/2010/main">
      <mc:Choice Requires="a14">
        <xdr:graphicFrame macro="">
          <xdr:nvGraphicFramePr>
            <xdr:cNvPr id="4" name="Genre">
              <a:extLst>
                <a:ext uri="{FF2B5EF4-FFF2-40B4-BE49-F238E27FC236}">
                  <a16:creationId xmlns:a16="http://schemas.microsoft.com/office/drawing/2014/main" id="{808DF21B-E5FA-F856-C8E5-17892EA7E2CA}"/>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8724900" y="4914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133350</xdr:colOff>
      <xdr:row>26</xdr:row>
      <xdr:rowOff>19050</xdr:rowOff>
    </xdr:from>
    <xdr:to>
      <xdr:col>8</xdr:col>
      <xdr:colOff>876300</xdr:colOff>
      <xdr:row>39</xdr:row>
      <xdr:rowOff>66675</xdr:rowOff>
    </xdr:to>
    <mc:AlternateContent xmlns:mc="http://schemas.openxmlformats.org/markup-compatibility/2006" xmlns:a14="http://schemas.microsoft.com/office/drawing/2010/main">
      <mc:Choice Requires="a14">
        <xdr:graphicFrame macro="">
          <xdr:nvGraphicFramePr>
            <xdr:cNvPr id="5" name="Platform">
              <a:extLst>
                <a:ext uri="{FF2B5EF4-FFF2-40B4-BE49-F238E27FC236}">
                  <a16:creationId xmlns:a16="http://schemas.microsoft.com/office/drawing/2014/main" id="{AE73F570-EC61-DA7D-3AAD-47B3D9D8B3C5}"/>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0991850" y="4972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285751</xdr:colOff>
      <xdr:row>26</xdr:row>
      <xdr:rowOff>9525</xdr:rowOff>
    </xdr:from>
    <xdr:to>
      <xdr:col>15</xdr:col>
      <xdr:colOff>276226</xdr:colOff>
      <xdr:row>33</xdr:row>
      <xdr:rowOff>47625</xdr:rowOff>
    </xdr:to>
    <mc:AlternateContent xmlns:mc="http://schemas.openxmlformats.org/markup-compatibility/2006" xmlns:tsle="http://schemas.microsoft.com/office/drawing/2012/timeslicer">
      <mc:Choice Requires="tsle">
        <xdr:graphicFrame macro="">
          <xdr:nvGraphicFramePr>
            <xdr:cNvPr id="6" name="Release_Date">
              <a:extLst>
                <a:ext uri="{FF2B5EF4-FFF2-40B4-BE49-F238E27FC236}">
                  <a16:creationId xmlns:a16="http://schemas.microsoft.com/office/drawing/2014/main" id="{6AAF72E3-A69A-EFB6-5509-770C0D2CA413}"/>
                </a:ext>
              </a:extLst>
            </xdr:cNvPr>
            <xdr:cNvGraphicFramePr/>
          </xdr:nvGraphicFramePr>
          <xdr:xfrm>
            <a:off x="0" y="0"/>
            <a:ext cx="0" cy="0"/>
          </xdr:xfrm>
          <a:graphic>
            <a:graphicData uri="http://schemas.microsoft.com/office/drawing/2012/timeslicer">
              <tsle:timeslicer name="Release_Date"/>
            </a:graphicData>
          </a:graphic>
        </xdr:graphicFrame>
      </mc:Choice>
      <mc:Fallback xmlns="">
        <xdr:sp macro="" textlink="">
          <xdr:nvSpPr>
            <xdr:cNvPr id="0" name=""/>
            <xdr:cNvSpPr>
              <a:spLocks noTextEdit="1"/>
            </xdr:cNvSpPr>
          </xdr:nvSpPr>
          <xdr:spPr>
            <a:xfrm>
              <a:off x="12906376" y="4962525"/>
              <a:ext cx="43434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476250</xdr:colOff>
      <xdr:row>6</xdr:row>
      <xdr:rowOff>52137</xdr:rowOff>
    </xdr:from>
    <xdr:to>
      <xdr:col>10</xdr:col>
      <xdr:colOff>171450</xdr:colOff>
      <xdr:row>20</xdr:row>
      <xdr:rowOff>121652</xdr:rowOff>
    </xdr:to>
    <xdr:graphicFrame macro="">
      <xdr:nvGraphicFramePr>
        <xdr:cNvPr id="2" name="Chart 1">
          <a:extLst>
            <a:ext uri="{FF2B5EF4-FFF2-40B4-BE49-F238E27FC236}">
              <a16:creationId xmlns:a16="http://schemas.microsoft.com/office/drawing/2014/main" id="{EBE8416A-511F-4239-B08A-6A30E6EBC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297615</xdr:colOff>
      <xdr:row>6</xdr:row>
      <xdr:rowOff>49798</xdr:rowOff>
    </xdr:from>
    <xdr:to>
      <xdr:col>18</xdr:col>
      <xdr:colOff>488115</xdr:colOff>
      <xdr:row>20</xdr:row>
      <xdr:rowOff>128838</xdr:rowOff>
    </xdr:to>
    <xdr:graphicFrame macro="">
      <xdr:nvGraphicFramePr>
        <xdr:cNvPr id="3" name="Chart 2">
          <a:extLst>
            <a:ext uri="{FF2B5EF4-FFF2-40B4-BE49-F238E27FC236}">
              <a16:creationId xmlns:a16="http://schemas.microsoft.com/office/drawing/2014/main" id="{FBE636E7-FEB1-4D50-A5A9-352BE44345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38100</xdr:colOff>
      <xdr:row>6</xdr:row>
      <xdr:rowOff>49798</xdr:rowOff>
    </xdr:from>
    <xdr:to>
      <xdr:col>26</xdr:col>
      <xdr:colOff>342900</xdr:colOff>
      <xdr:row>20</xdr:row>
      <xdr:rowOff>119313</xdr:rowOff>
    </xdr:to>
    <xdr:graphicFrame macro="">
      <xdr:nvGraphicFramePr>
        <xdr:cNvPr id="4" name="Chart 3">
          <a:extLst>
            <a:ext uri="{FF2B5EF4-FFF2-40B4-BE49-F238E27FC236}">
              <a16:creationId xmlns:a16="http://schemas.microsoft.com/office/drawing/2014/main" id="{E1294DAE-8FD9-449A-9EAB-7DF7F097B0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450015</xdr:colOff>
      <xdr:row>22</xdr:row>
      <xdr:rowOff>0</xdr:rowOff>
    </xdr:from>
    <xdr:to>
      <xdr:col>10</xdr:col>
      <xdr:colOff>145215</xdr:colOff>
      <xdr:row>36</xdr:row>
      <xdr:rowOff>76200</xdr:rowOff>
    </xdr:to>
    <xdr:graphicFrame macro="">
      <xdr:nvGraphicFramePr>
        <xdr:cNvPr id="5" name="Chart 4">
          <a:extLst>
            <a:ext uri="{FF2B5EF4-FFF2-40B4-BE49-F238E27FC236}">
              <a16:creationId xmlns:a16="http://schemas.microsoft.com/office/drawing/2014/main" id="{55CC103B-646E-46DB-B4DF-842FB5AB5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321509</xdr:colOff>
      <xdr:row>22</xdr:row>
      <xdr:rowOff>0</xdr:rowOff>
    </xdr:from>
    <xdr:to>
      <xdr:col>18</xdr:col>
      <xdr:colOff>502484</xdr:colOff>
      <xdr:row>36</xdr:row>
      <xdr:rowOff>76200</xdr:rowOff>
    </xdr:to>
    <xdr:graphicFrame macro="">
      <xdr:nvGraphicFramePr>
        <xdr:cNvPr id="6" name="Chart 5">
          <a:extLst>
            <a:ext uri="{FF2B5EF4-FFF2-40B4-BE49-F238E27FC236}">
              <a16:creationId xmlns:a16="http://schemas.microsoft.com/office/drawing/2014/main" id="{A0A27F19-BD7C-4C3B-8DDB-DE5368579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38100</xdr:colOff>
      <xdr:row>21</xdr:row>
      <xdr:rowOff>167104</xdr:rowOff>
    </xdr:from>
    <xdr:to>
      <xdr:col>26</xdr:col>
      <xdr:colOff>342900</xdr:colOff>
      <xdr:row>36</xdr:row>
      <xdr:rowOff>59489</xdr:rowOff>
    </xdr:to>
    <xdr:graphicFrame macro="">
      <xdr:nvGraphicFramePr>
        <xdr:cNvPr id="7" name="Chart 6">
          <a:extLst>
            <a:ext uri="{FF2B5EF4-FFF2-40B4-BE49-F238E27FC236}">
              <a16:creationId xmlns:a16="http://schemas.microsoft.com/office/drawing/2014/main" id="{709B6BBF-415B-40AE-80A5-BC3CF5C3E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xdr:row>
      <xdr:rowOff>66842</xdr:rowOff>
    </xdr:from>
    <xdr:to>
      <xdr:col>2</xdr:col>
      <xdr:colOff>390525</xdr:colOff>
      <xdr:row>16</xdr:row>
      <xdr:rowOff>114467</xdr:rowOff>
    </xdr:to>
    <mc:AlternateContent xmlns:mc="http://schemas.openxmlformats.org/markup-compatibility/2006" xmlns:a14="http://schemas.microsoft.com/office/drawing/2010/main">
      <mc:Choice Requires="a14">
        <xdr:graphicFrame macro="">
          <xdr:nvGraphicFramePr>
            <xdr:cNvPr id="11" name="Genre 1">
              <a:extLst>
                <a:ext uri="{FF2B5EF4-FFF2-40B4-BE49-F238E27FC236}">
                  <a16:creationId xmlns:a16="http://schemas.microsoft.com/office/drawing/2014/main" id="{B27B5523-91DC-4EEC-8B90-CBDE3A6424B6}"/>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0" y="1169737"/>
              <a:ext cx="1593683" cy="18857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30749</xdr:rowOff>
    </xdr:from>
    <xdr:to>
      <xdr:col>2</xdr:col>
      <xdr:colOff>400050</xdr:colOff>
      <xdr:row>27</xdr:row>
      <xdr:rowOff>68849</xdr:rowOff>
    </xdr:to>
    <mc:AlternateContent xmlns:mc="http://schemas.openxmlformats.org/markup-compatibility/2006" xmlns:a14="http://schemas.microsoft.com/office/drawing/2010/main">
      <mc:Choice Requires="a14">
        <xdr:graphicFrame macro="">
          <xdr:nvGraphicFramePr>
            <xdr:cNvPr id="12" name="Developer 1">
              <a:extLst>
                <a:ext uri="{FF2B5EF4-FFF2-40B4-BE49-F238E27FC236}">
                  <a16:creationId xmlns:a16="http://schemas.microsoft.com/office/drawing/2014/main" id="{EDC6FAE7-A872-4D65-891D-E61A86DEEF53}"/>
                </a:ext>
              </a:extLst>
            </xdr:cNvPr>
            <xdr:cNvGraphicFramePr/>
          </xdr:nvGraphicFramePr>
          <xdr:xfrm>
            <a:off x="0" y="0"/>
            <a:ext cx="0" cy="0"/>
          </xdr:xfrm>
          <a:graphic>
            <a:graphicData uri="http://schemas.microsoft.com/office/drawing/2010/slicer">
              <sle:slicer xmlns:sle="http://schemas.microsoft.com/office/drawing/2010/slicer" name="Developer 1"/>
            </a:graphicData>
          </a:graphic>
        </xdr:graphicFrame>
      </mc:Choice>
      <mc:Fallback xmlns="">
        <xdr:sp macro="" textlink="">
          <xdr:nvSpPr>
            <xdr:cNvPr id="0" name=""/>
            <xdr:cNvSpPr>
              <a:spLocks noTextEdit="1"/>
            </xdr:cNvSpPr>
          </xdr:nvSpPr>
          <xdr:spPr>
            <a:xfrm>
              <a:off x="19050" y="3155617"/>
              <a:ext cx="1584158" cy="1876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27</xdr:row>
      <xdr:rowOff>181309</xdr:rowOff>
    </xdr:from>
    <xdr:to>
      <xdr:col>2</xdr:col>
      <xdr:colOff>390526</xdr:colOff>
      <xdr:row>38</xdr:row>
      <xdr:rowOff>66842</xdr:rowOff>
    </xdr:to>
    <mc:AlternateContent xmlns:mc="http://schemas.openxmlformats.org/markup-compatibility/2006" xmlns:a14="http://schemas.microsoft.com/office/drawing/2010/main">
      <mc:Choice Requires="a14">
        <xdr:graphicFrame macro="">
          <xdr:nvGraphicFramePr>
            <xdr:cNvPr id="13" name="Platform 1">
              <a:extLst>
                <a:ext uri="{FF2B5EF4-FFF2-40B4-BE49-F238E27FC236}">
                  <a16:creationId xmlns:a16="http://schemas.microsoft.com/office/drawing/2014/main" id="{26AFCF46-4DCF-442A-A22F-D0632648F211}"/>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mlns="">
        <xdr:sp macro="" textlink="">
          <xdr:nvSpPr>
            <xdr:cNvPr id="0" name=""/>
            <xdr:cNvSpPr>
              <a:spLocks noTextEdit="1"/>
            </xdr:cNvSpPr>
          </xdr:nvSpPr>
          <xdr:spPr>
            <a:xfrm>
              <a:off x="9526" y="5144335"/>
              <a:ext cx="1584158" cy="19075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38</xdr:row>
      <xdr:rowOff>183649</xdr:rowOff>
    </xdr:from>
    <xdr:to>
      <xdr:col>2</xdr:col>
      <xdr:colOff>390525</xdr:colOff>
      <xdr:row>48</xdr:row>
      <xdr:rowOff>167105</xdr:rowOff>
    </xdr:to>
    <mc:AlternateContent xmlns:mc="http://schemas.openxmlformats.org/markup-compatibility/2006" xmlns:a14="http://schemas.microsoft.com/office/drawing/2010/main">
      <mc:Choice Requires="a14">
        <xdr:graphicFrame macro="">
          <xdr:nvGraphicFramePr>
            <xdr:cNvPr id="14" name="Release_Year 1">
              <a:extLst>
                <a:ext uri="{FF2B5EF4-FFF2-40B4-BE49-F238E27FC236}">
                  <a16:creationId xmlns:a16="http://schemas.microsoft.com/office/drawing/2014/main" id="{6ABDADAC-58E7-400A-8847-3800CA760492}"/>
                </a:ext>
              </a:extLst>
            </xdr:cNvPr>
            <xdr:cNvGraphicFramePr/>
          </xdr:nvGraphicFramePr>
          <xdr:xfrm>
            <a:off x="0" y="0"/>
            <a:ext cx="0" cy="0"/>
          </xdr:xfrm>
          <a:graphic>
            <a:graphicData uri="http://schemas.microsoft.com/office/drawing/2010/slicer">
              <sle:slicer xmlns:sle="http://schemas.microsoft.com/office/drawing/2010/slicer" name="Release_Year 1"/>
            </a:graphicData>
          </a:graphic>
        </xdr:graphicFrame>
      </mc:Choice>
      <mc:Fallback xmlns="">
        <xdr:sp macro="" textlink="">
          <xdr:nvSpPr>
            <xdr:cNvPr id="0" name=""/>
            <xdr:cNvSpPr>
              <a:spLocks noTextEdit="1"/>
            </xdr:cNvSpPr>
          </xdr:nvSpPr>
          <xdr:spPr>
            <a:xfrm>
              <a:off x="9525" y="7168649"/>
              <a:ext cx="1584158" cy="18216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466724</xdr:colOff>
      <xdr:row>37</xdr:row>
      <xdr:rowOff>100264</xdr:rowOff>
    </xdr:from>
    <xdr:to>
      <xdr:col>26</xdr:col>
      <xdr:colOff>350921</xdr:colOff>
      <xdr:row>48</xdr:row>
      <xdr:rowOff>133350</xdr:rowOff>
    </xdr:to>
    <mc:AlternateContent xmlns:mc="http://schemas.openxmlformats.org/markup-compatibility/2006" xmlns:tsle="http://schemas.microsoft.com/office/drawing/2012/timeslicer">
      <mc:Choice Requires="tsle">
        <xdr:graphicFrame macro="">
          <xdr:nvGraphicFramePr>
            <xdr:cNvPr id="15" name="Release_Date 1">
              <a:extLst>
                <a:ext uri="{FF2B5EF4-FFF2-40B4-BE49-F238E27FC236}">
                  <a16:creationId xmlns:a16="http://schemas.microsoft.com/office/drawing/2014/main" id="{6A2DE31D-2BD1-4AFF-85FE-E0E87835F3DD}"/>
                </a:ext>
              </a:extLst>
            </xdr:cNvPr>
            <xdr:cNvGraphicFramePr/>
          </xdr:nvGraphicFramePr>
          <xdr:xfrm>
            <a:off x="0" y="0"/>
            <a:ext cx="0" cy="0"/>
          </xdr:xfrm>
          <a:graphic>
            <a:graphicData uri="http://schemas.microsoft.com/office/drawing/2012/timeslicer">
              <tsle:timeslicer name="Release_Date 1"/>
            </a:graphicData>
          </a:graphic>
        </xdr:graphicFrame>
      </mc:Choice>
      <mc:Fallback xmlns="">
        <xdr:sp macro="" textlink="">
          <xdr:nvSpPr>
            <xdr:cNvPr id="0" name=""/>
            <xdr:cNvSpPr>
              <a:spLocks noTextEdit="1"/>
            </xdr:cNvSpPr>
          </xdr:nvSpPr>
          <xdr:spPr>
            <a:xfrm>
              <a:off x="1669882" y="6901448"/>
              <a:ext cx="14322092" cy="20550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Mehta" refreshedDate="45989.537680092595" createdVersion="8" refreshedVersion="8" minRefreshableVersion="3" recordCount="500" xr:uid="{0C361FD2-0263-4B0F-8D42-EAD202E47CDB}">
  <cacheSource type="worksheet">
    <worksheetSource ref="A1:P501" sheet="Games_Data"/>
  </cacheSource>
  <cacheFields count="16">
    <cacheField name="Game_Title" numFmtId="0">
      <sharedItems count="67">
        <s v="Grand Theft Auto V"/>
        <s v="Grand Theft Auto IV"/>
        <s v="Red Dead Redemption 2"/>
        <s v="The Witcher 3: Wild Hunt"/>
        <s v="Cyberpunk 2077"/>
        <s v="Assassin's Creed Valhalla"/>
        <s v="Assassin's Creed Odyssey"/>
        <s v="Assassin's Creed Origins"/>
        <s v="Horizon Zero Dawn"/>
        <s v="Horizon Forbidden West"/>
        <s v="The Elder Scrolls V: Skyrim"/>
        <s v="Fallout 4"/>
        <s v="Fallout: New Vegas"/>
        <s v="Breath of the Wild"/>
        <s v="Tears of the Kingdom"/>
        <s v="GTA: San Andreas"/>
        <s v="GTA: Vice City"/>
        <s v="Ghost of Tsushima"/>
        <s v="Days Gone"/>
        <s v="Death Stranding"/>
        <s v="Minecraft"/>
        <s v="No Man's Sky"/>
        <s v="The Outer Worlds"/>
        <s v="Watch Dogs 2"/>
        <s v="Watch Dogs: Legion"/>
        <s v="Far Cry 3"/>
        <s v="Far Cry 4"/>
        <s v="Far Cry 5"/>
        <s v="Far Cry 6"/>
        <s v="Just Cause 3"/>
        <s v="Just Cause 4"/>
        <s v="Saints Row: The Third"/>
        <s v="Mafia III"/>
        <s v="Metal Gear Solid V: The Phantom Pain"/>
        <s v="Yakuza 0"/>
        <s v="Yakuza: Like a Dragon"/>
        <s v="Shenmue III"/>
        <s v="Subnautica"/>
        <s v="Subnautica: Below Zero"/>
        <s v="Skyrim Special Edition"/>
        <s v="S.T.A.L.K.E.R.: Shadow of Chernobyl"/>
        <s v="Metro Exodus"/>
        <s v="State of Decay 2"/>
        <s v="Monster Hunter: World"/>
        <s v="Dragon's Dogma"/>
        <s v="Dragon's Dogma 2"/>
        <s v="Elite Dangerous"/>
        <s v="Elden Ring"/>
        <s v="Dark Souls III"/>
        <s v="Sekiro: Shadows Die Twice"/>
        <s v="Forza Horizon 4"/>
        <s v="Forza Horizon 5"/>
        <s v="Burnout Paradise Remastered"/>
        <s v="The Crew 2"/>
        <s v="Sable"/>
        <s v="Outer Wilds"/>
        <s v="The Legend of Zelda: Breath of the Wild"/>
        <s v="The Legend of Zelda: Tears of the Kingdom"/>
        <s v="Kingdom Come: Deliverance"/>
        <s v="Kingdoms of Amalur: Reckoning"/>
        <s v="GreedFall"/>
        <s v="Biomutant"/>
        <s v="Palworld"/>
        <s v="Sea of Thieves"/>
        <s v="Skyrim"/>
        <s v="Fallout 3"/>
        <s v="RDR"/>
      </sharedItems>
    </cacheField>
    <cacheField name="Developer" numFmtId="0">
      <sharedItems count="39">
        <s v="Rockstar North"/>
        <s v="Rockstar Studios"/>
        <s v="CD Projekt Red"/>
        <s v="Ubisoft Montreal"/>
        <s v="Ubisoft Quebec"/>
        <s v="Guerrilla Games"/>
        <s v="Bethesda Game Studios"/>
        <s v="Obsidian Entertainment"/>
        <s v="Nintendo EPD"/>
        <s v="Sucker Punch Productions"/>
        <s v="Bend Studio"/>
        <s v="Kojima Productions"/>
        <s v="Mojang Studios"/>
        <s v="Hello Games"/>
        <s v="Ubisoft Toronto"/>
        <s v="Avalanche Studios"/>
        <s v="Volition"/>
        <s v="Hangar 13"/>
        <s v="Ryu Ga Gotoku Studio"/>
        <s v="Ys Net"/>
        <s v="Unknown Worlds Entertainment"/>
        <s v="GSC Game World"/>
        <s v="4A Games"/>
        <s v="Undead Labs"/>
        <s v="Capcom"/>
        <s v="Frontier Developments"/>
        <s v="FromSoftware"/>
        <s v="Playground Games"/>
        <s v="Criterion Games"/>
        <s v="Ivory Tower"/>
        <s v="Shedworks"/>
        <s v="Mobius Digital"/>
        <s v="Warhorse Studios"/>
        <s v="38 Studios"/>
        <s v="Spiders"/>
        <s v="Experiment 101"/>
        <s v="Pocketpair"/>
        <s v="Rare"/>
        <s v="Rockstar San Diego"/>
      </sharedItems>
    </cacheField>
    <cacheField name="Publisher" numFmtId="0">
      <sharedItems/>
    </cacheField>
    <cacheField name="Release_Year" numFmtId="0">
      <sharedItems containsSemiMixedTypes="0" containsString="0" containsNumber="1" containsInteger="1" minValue="2002" maxValue="2024" count="19">
        <n v="2013"/>
        <n v="2008"/>
        <n v="2018"/>
        <n v="2015"/>
        <n v="2020"/>
        <n v="2017"/>
        <n v="2022"/>
        <n v="2011"/>
        <n v="2010"/>
        <n v="2023"/>
        <n v="2004"/>
        <n v="2002"/>
        <n v="2019"/>
        <n v="2016"/>
        <n v="2012"/>
        <n v="2014"/>
        <n v="2021"/>
        <n v="2007"/>
        <n v="2024"/>
      </sharedItems>
    </cacheField>
    <cacheField name="Release_Date" numFmtId="14">
      <sharedItems containsSemiMixedTypes="0" containsNonDate="0" containsDate="1" containsString="0" minDate="2002-01-01T00:00:00" maxDate="2024-01-02T00:00:00" count="19">
        <d v="2013-01-01T00:00:00"/>
        <d v="2008-01-01T00:00:00"/>
        <d v="2018-01-01T00:00:00"/>
        <d v="2015-01-01T00:00:00"/>
        <d v="2020-01-01T00:00:00"/>
        <d v="2017-01-01T00:00:00"/>
        <d v="2022-01-01T00:00:00"/>
        <d v="2011-01-01T00:00:00"/>
        <d v="2010-01-01T00:00:00"/>
        <d v="2023-01-01T00:00:00"/>
        <d v="2004-01-01T00:00:00"/>
        <d v="2002-01-01T00:00:00"/>
        <d v="2019-01-01T00:00:00"/>
        <d v="2016-01-01T00:00:00"/>
        <d v="2012-01-01T00:00:00"/>
        <d v="2014-01-01T00:00:00"/>
        <d v="2021-01-01T00:00:00"/>
        <d v="2007-01-01T00:00:00"/>
        <d v="2024-01-01T00:00:00"/>
      </sharedItems>
    </cacheField>
    <cacheField name="Genre" numFmtId="0">
      <sharedItems count="12">
        <s v="Action-Adventure"/>
        <s v="Action-RPG"/>
        <s v="Sandbox"/>
        <s v="Exploration"/>
        <s v="FPS"/>
        <s v="RPG"/>
        <s v="Survival"/>
        <s v="Shooter"/>
        <s v="Sim/Space"/>
        <s v="Action RPG"/>
        <s v="Racing"/>
        <s v="Adventure"/>
      </sharedItems>
    </cacheField>
    <cacheField name="Platform" numFmtId="0">
      <sharedItems count="13">
        <s v="PS3"/>
        <s v="PS4"/>
        <s v="PS5"/>
        <s v="Xbox 360"/>
        <s v="Xbox One"/>
        <s v="PC"/>
        <s v="Switch"/>
        <s v="Xbox Series X/S"/>
        <s v="Wii U"/>
        <s v="PS2"/>
        <s v="Xbox"/>
        <s v="Mobile"/>
        <s v="Multiple"/>
      </sharedItems>
    </cacheField>
    <cacheField name="Engine" numFmtId="0">
      <sharedItems/>
    </cacheField>
    <cacheField name="ESRB_Rating" numFmtId="0">
      <sharedItems/>
    </cacheField>
    <cacheField name="Metacritic_Score" numFmtId="0">
      <sharedItems containsSemiMixedTypes="0" containsString="0" containsNumber="1" containsInteger="1" minValue="58" maxValue="100"/>
    </cacheField>
    <cacheField name="Sales_Millions" numFmtId="0">
      <sharedItems containsSemiMixedTypes="0" containsString="0" containsNumber="1" minValue="0.16" maxValue="263.75"/>
    </cacheField>
    <cacheField name="Map_Size_km2" numFmtId="0">
      <sharedItems containsSemiMixedTypes="0" containsString="0" containsNumber="1" minValue="1.67" maxValue="249.82"/>
    </cacheField>
    <cacheField name="Online_Multiplayer" numFmtId="0">
      <sharedItems/>
    </cacheField>
    <cacheField name="Budget_MillionUSD" numFmtId="0">
      <sharedItems containsSemiMixedTypes="0" containsString="0" containsNumber="1" minValue="5.22" maxValue="198.93"/>
    </cacheField>
    <cacheField name="Revenue_MillionUSD" numFmtId="0">
      <sharedItems containsSemiMixedTypes="0" containsString="0" containsNumber="1" minValue="6.18" maxValue="1887.16"/>
    </cacheField>
    <cacheField name="Awards_Won" numFmtId="0">
      <sharedItems containsSemiMixedTypes="0" containsString="0" containsNumber="1" containsInteger="1" minValue="0" maxValue="21"/>
    </cacheField>
  </cacheFields>
  <extLst>
    <ext xmlns:x14="http://schemas.microsoft.com/office/spreadsheetml/2009/9/main" uri="{725AE2AE-9491-48be-B2B4-4EB974FC3084}">
      <x14:pivotCacheDefinition pivotCacheId="1461297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Rockstar Games"/>
    <x v="0"/>
    <x v="0"/>
    <x v="0"/>
    <x v="0"/>
    <s v="RAGE"/>
    <s v="Mature"/>
    <n v="90"/>
    <n v="31.15"/>
    <n v="185.65"/>
    <s v="No"/>
    <n v="52.75"/>
    <n v="70.27"/>
    <n v="3"/>
  </r>
  <r>
    <x v="0"/>
    <x v="0"/>
    <s v="Rockstar Games"/>
    <x v="0"/>
    <x v="0"/>
    <x v="0"/>
    <x v="1"/>
    <s v="RAGE"/>
    <s v="Mature"/>
    <n v="86"/>
    <n v="26.52"/>
    <n v="106.06"/>
    <s v="Yes"/>
    <n v="10.81"/>
    <n v="78.7"/>
    <n v="16"/>
  </r>
  <r>
    <x v="0"/>
    <x v="0"/>
    <s v="Rockstar Games"/>
    <x v="0"/>
    <x v="0"/>
    <x v="0"/>
    <x v="2"/>
    <s v="RAGE"/>
    <s v="Mature"/>
    <n v="66"/>
    <n v="146.04"/>
    <n v="175.63"/>
    <s v="No"/>
    <n v="86.81"/>
    <n v="736.46"/>
    <n v="8"/>
  </r>
  <r>
    <x v="0"/>
    <x v="0"/>
    <s v="Rockstar Games"/>
    <x v="0"/>
    <x v="0"/>
    <x v="0"/>
    <x v="3"/>
    <s v="RAGE"/>
    <s v="Mature"/>
    <n v="66"/>
    <n v="142.65"/>
    <n v="85.72"/>
    <s v="Yes"/>
    <n v="35.32"/>
    <n v="1371.57"/>
    <n v="10"/>
  </r>
  <r>
    <x v="0"/>
    <x v="0"/>
    <s v="Rockstar Games"/>
    <x v="0"/>
    <x v="0"/>
    <x v="0"/>
    <x v="4"/>
    <s v="RAGE"/>
    <s v="Mature"/>
    <n v="71"/>
    <n v="78.209999999999994"/>
    <n v="86.64"/>
    <s v="Yes"/>
    <n v="56.58"/>
    <n v="108.79"/>
    <n v="14"/>
  </r>
  <r>
    <x v="0"/>
    <x v="0"/>
    <s v="Rockstar Games"/>
    <x v="0"/>
    <x v="0"/>
    <x v="0"/>
    <x v="5"/>
    <s v="RAGE"/>
    <s v="Mature"/>
    <n v="98"/>
    <n v="81.92"/>
    <n v="138.46"/>
    <s v="Yes"/>
    <n v="166.73"/>
    <n v="537.94000000000005"/>
    <n v="11"/>
  </r>
  <r>
    <x v="1"/>
    <x v="0"/>
    <s v="Rockstar Games"/>
    <x v="1"/>
    <x v="1"/>
    <x v="0"/>
    <x v="0"/>
    <s v="RAGE"/>
    <s v="Mature"/>
    <n v="63"/>
    <n v="0.55000000000000004"/>
    <n v="57.75"/>
    <s v="No"/>
    <n v="61.43"/>
    <n v="30.71"/>
    <n v="7"/>
  </r>
  <r>
    <x v="1"/>
    <x v="0"/>
    <s v="Rockstar Games"/>
    <x v="1"/>
    <x v="1"/>
    <x v="0"/>
    <x v="3"/>
    <s v="RAGE"/>
    <s v="Mature"/>
    <n v="84"/>
    <n v="6.39"/>
    <n v="91.84"/>
    <s v="No"/>
    <n v="77.19"/>
    <n v="38.590000000000003"/>
    <n v="8"/>
  </r>
  <r>
    <x v="1"/>
    <x v="0"/>
    <s v="Rockstar Games"/>
    <x v="1"/>
    <x v="1"/>
    <x v="0"/>
    <x v="5"/>
    <s v="RAGE"/>
    <s v="Mature"/>
    <n v="89"/>
    <n v="6.39"/>
    <n v="134"/>
    <s v="No"/>
    <n v="52.74"/>
    <n v="32.97"/>
    <n v="8"/>
  </r>
  <r>
    <x v="2"/>
    <x v="1"/>
    <s v="Rockstar Games"/>
    <x v="2"/>
    <x v="2"/>
    <x v="0"/>
    <x v="1"/>
    <s v="RAGE"/>
    <s v="Mature"/>
    <n v="72"/>
    <n v="140.08000000000001"/>
    <n v="210.87"/>
    <s v="No"/>
    <n v="156.32"/>
    <n v="428.85"/>
    <n v="1"/>
  </r>
  <r>
    <x v="2"/>
    <x v="1"/>
    <s v="Rockstar Games"/>
    <x v="2"/>
    <x v="2"/>
    <x v="0"/>
    <x v="2"/>
    <s v="RAGE"/>
    <s v="Mature"/>
    <n v="69"/>
    <n v="50.09"/>
    <n v="235.78"/>
    <s v="No"/>
    <n v="175.89"/>
    <n v="191.95"/>
    <n v="20"/>
  </r>
  <r>
    <x v="2"/>
    <x v="1"/>
    <s v="Rockstar Games"/>
    <x v="2"/>
    <x v="2"/>
    <x v="0"/>
    <x v="4"/>
    <s v="RAGE"/>
    <s v="Mature"/>
    <n v="93"/>
    <n v="132.13999999999999"/>
    <n v="36.58"/>
    <s v="No"/>
    <n v="32.229999999999997"/>
    <n v="1018.13"/>
    <n v="17"/>
  </r>
  <r>
    <x v="2"/>
    <x v="1"/>
    <s v="Rockstar Games"/>
    <x v="2"/>
    <x v="2"/>
    <x v="0"/>
    <x v="5"/>
    <s v="RAGE"/>
    <s v="Mature"/>
    <n v="80"/>
    <n v="180.59"/>
    <n v="100.45"/>
    <s v="Yes"/>
    <n v="47.77"/>
    <n v="1801.9"/>
    <n v="16"/>
  </r>
  <r>
    <x v="3"/>
    <x v="2"/>
    <s v="CD Projekt"/>
    <x v="3"/>
    <x v="3"/>
    <x v="1"/>
    <x v="1"/>
    <s v="REDengine"/>
    <s v="Mature"/>
    <n v="62"/>
    <n v="173.61"/>
    <n v="39.06"/>
    <s v="Yes"/>
    <n v="36.200000000000003"/>
    <n v="1236.8599999999999"/>
    <n v="19"/>
  </r>
  <r>
    <x v="3"/>
    <x v="2"/>
    <s v="CD Projekt"/>
    <x v="3"/>
    <x v="3"/>
    <x v="1"/>
    <x v="2"/>
    <s v="REDengine"/>
    <s v="Mature"/>
    <n v="82"/>
    <n v="82.51"/>
    <n v="249.03"/>
    <s v="Yes"/>
    <n v="108.18"/>
    <n v="803.62"/>
    <n v="0"/>
  </r>
  <r>
    <x v="3"/>
    <x v="2"/>
    <s v="CD Projekt"/>
    <x v="3"/>
    <x v="3"/>
    <x v="1"/>
    <x v="4"/>
    <s v="REDengine"/>
    <s v="Mature"/>
    <n v="84"/>
    <n v="31.76"/>
    <n v="221.31"/>
    <s v="Yes"/>
    <n v="151.41999999999999"/>
    <n v="251.46"/>
    <n v="10"/>
  </r>
  <r>
    <x v="3"/>
    <x v="2"/>
    <s v="CD Projekt"/>
    <x v="3"/>
    <x v="3"/>
    <x v="1"/>
    <x v="6"/>
    <s v="REDengine"/>
    <s v="Mature"/>
    <n v="77"/>
    <n v="92.61"/>
    <n v="113.98"/>
    <s v="Yes"/>
    <n v="190.99"/>
    <n v="822.62"/>
    <n v="8"/>
  </r>
  <r>
    <x v="3"/>
    <x v="2"/>
    <s v="CD Projekt"/>
    <x v="3"/>
    <x v="3"/>
    <x v="1"/>
    <x v="5"/>
    <s v="REDengine"/>
    <s v="Mature"/>
    <n v="92"/>
    <n v="43.94"/>
    <n v="228.24"/>
    <s v="Yes"/>
    <n v="174.75"/>
    <n v="161.96"/>
    <n v="20"/>
  </r>
  <r>
    <x v="4"/>
    <x v="2"/>
    <s v="CD Projekt"/>
    <x v="4"/>
    <x v="4"/>
    <x v="1"/>
    <x v="1"/>
    <s v="REDengine"/>
    <s v="Mature"/>
    <n v="79"/>
    <n v="2.0699999999999998"/>
    <n v="94.1"/>
    <s v="Yes"/>
    <n v="36.5"/>
    <n v="19.829999999999998"/>
    <n v="16"/>
  </r>
  <r>
    <x v="4"/>
    <x v="2"/>
    <s v="CD Projekt"/>
    <x v="4"/>
    <x v="4"/>
    <x v="1"/>
    <x v="2"/>
    <s v="REDengine"/>
    <s v="Mature"/>
    <n v="82"/>
    <n v="3.31"/>
    <n v="5.85"/>
    <s v="Yes"/>
    <n v="186.17"/>
    <n v="93.08"/>
    <n v="9"/>
  </r>
  <r>
    <x v="4"/>
    <x v="2"/>
    <s v="CD Projekt"/>
    <x v="4"/>
    <x v="4"/>
    <x v="1"/>
    <x v="4"/>
    <s v="REDengine"/>
    <s v="Mature"/>
    <n v="69"/>
    <n v="2.48"/>
    <n v="142.27000000000001"/>
    <s v="Yes"/>
    <n v="20.36"/>
    <n v="18.82"/>
    <n v="2"/>
  </r>
  <r>
    <x v="4"/>
    <x v="2"/>
    <s v="CD Projekt"/>
    <x v="4"/>
    <x v="4"/>
    <x v="1"/>
    <x v="7"/>
    <s v="REDengine"/>
    <s v="Mature"/>
    <n v="93"/>
    <n v="1.35"/>
    <n v="165.28"/>
    <s v="Yes"/>
    <n v="189.64"/>
    <n v="94.82"/>
    <n v="16"/>
  </r>
  <r>
    <x v="4"/>
    <x v="2"/>
    <s v="CD Projekt"/>
    <x v="4"/>
    <x v="4"/>
    <x v="1"/>
    <x v="5"/>
    <s v="REDengine"/>
    <s v="Mature"/>
    <n v="79"/>
    <n v="9.65"/>
    <n v="232.3"/>
    <s v="Yes"/>
    <n v="152.28"/>
    <n v="76.14"/>
    <n v="9"/>
  </r>
  <r>
    <x v="5"/>
    <x v="3"/>
    <s v="Ubisoft"/>
    <x v="4"/>
    <x v="4"/>
    <x v="1"/>
    <x v="1"/>
    <s v="AnvilNext"/>
    <s v="Mature"/>
    <n v="82"/>
    <n v="26.7"/>
    <n v="110.09"/>
    <s v="Yes"/>
    <n v="105.93"/>
    <n v="55.78"/>
    <n v="7"/>
  </r>
  <r>
    <x v="5"/>
    <x v="3"/>
    <s v="Ubisoft"/>
    <x v="4"/>
    <x v="4"/>
    <x v="1"/>
    <x v="2"/>
    <s v="AnvilNext"/>
    <s v="Mature"/>
    <n v="70"/>
    <n v="2.8"/>
    <n v="138.93"/>
    <s v="Yes"/>
    <n v="119.75"/>
    <n v="59.88"/>
    <n v="20"/>
  </r>
  <r>
    <x v="5"/>
    <x v="3"/>
    <s v="Ubisoft"/>
    <x v="4"/>
    <x v="4"/>
    <x v="1"/>
    <x v="4"/>
    <s v="AnvilNext"/>
    <s v="Mature"/>
    <n v="77"/>
    <n v="4.5599999999999996"/>
    <n v="8.82"/>
    <s v="Yes"/>
    <n v="69.430000000000007"/>
    <n v="34.72"/>
    <n v="8"/>
  </r>
  <r>
    <x v="5"/>
    <x v="3"/>
    <s v="Ubisoft"/>
    <x v="4"/>
    <x v="4"/>
    <x v="1"/>
    <x v="7"/>
    <s v="AnvilNext"/>
    <s v="Mature"/>
    <n v="78"/>
    <n v="10.14"/>
    <n v="33.950000000000003"/>
    <s v="Yes"/>
    <n v="187.43"/>
    <n v="93.72"/>
    <n v="15"/>
  </r>
  <r>
    <x v="5"/>
    <x v="3"/>
    <s v="Ubisoft"/>
    <x v="4"/>
    <x v="4"/>
    <x v="1"/>
    <x v="5"/>
    <s v="AnvilNext"/>
    <s v="Mature"/>
    <n v="91"/>
    <n v="19.97"/>
    <n v="102.36"/>
    <s v="Yes"/>
    <n v="23.39"/>
    <n v="138.41"/>
    <n v="11"/>
  </r>
  <r>
    <x v="6"/>
    <x v="4"/>
    <s v="Ubisoft"/>
    <x v="2"/>
    <x v="2"/>
    <x v="1"/>
    <x v="1"/>
    <s v="AnvilNext"/>
    <s v="Mature"/>
    <n v="73"/>
    <n v="19.75"/>
    <n v="182.54"/>
    <s v="Yes"/>
    <n v="136.31"/>
    <n v="194.69"/>
    <n v="3"/>
  </r>
  <r>
    <x v="6"/>
    <x v="4"/>
    <s v="Ubisoft"/>
    <x v="2"/>
    <x v="2"/>
    <x v="1"/>
    <x v="4"/>
    <s v="AnvilNext"/>
    <s v="Mature"/>
    <n v="79"/>
    <n v="29.67"/>
    <n v="200.35"/>
    <s v="Yes"/>
    <n v="26.31"/>
    <n v="80.83"/>
    <n v="17"/>
  </r>
  <r>
    <x v="6"/>
    <x v="4"/>
    <s v="Ubisoft"/>
    <x v="2"/>
    <x v="2"/>
    <x v="1"/>
    <x v="5"/>
    <s v="AnvilNext"/>
    <s v="Mature"/>
    <n v="72"/>
    <n v="18.03"/>
    <n v="70.36"/>
    <s v="Yes"/>
    <n v="53.71"/>
    <n v="167.85"/>
    <n v="14"/>
  </r>
  <r>
    <x v="7"/>
    <x v="3"/>
    <s v="Ubisoft"/>
    <x v="5"/>
    <x v="5"/>
    <x v="1"/>
    <x v="1"/>
    <s v="AnvilNext"/>
    <s v="Mature"/>
    <n v="65"/>
    <n v="3.92"/>
    <n v="249.82"/>
    <s v="Yes"/>
    <n v="168.03"/>
    <n v="84.02"/>
    <n v="7"/>
  </r>
  <r>
    <x v="7"/>
    <x v="3"/>
    <s v="Ubisoft"/>
    <x v="5"/>
    <x v="5"/>
    <x v="1"/>
    <x v="4"/>
    <s v="AnvilNext"/>
    <s v="Mature"/>
    <n v="73"/>
    <n v="20.45"/>
    <n v="54.22"/>
    <s v="Yes"/>
    <n v="83.2"/>
    <n v="41.6"/>
    <n v="12"/>
  </r>
  <r>
    <x v="7"/>
    <x v="3"/>
    <s v="Ubisoft"/>
    <x v="5"/>
    <x v="5"/>
    <x v="1"/>
    <x v="5"/>
    <s v="AnvilNext"/>
    <s v="Mature"/>
    <n v="82"/>
    <n v="12.08"/>
    <n v="196.23"/>
    <s v="Yes"/>
    <n v="93.73"/>
    <n v="58.07"/>
    <n v="17"/>
  </r>
  <r>
    <x v="8"/>
    <x v="5"/>
    <s v="Sony Interactive Entertainment"/>
    <x v="5"/>
    <x v="5"/>
    <x v="1"/>
    <x v="1"/>
    <s v="Decima"/>
    <s v="Teen"/>
    <n v="82"/>
    <n v="4.92"/>
    <n v="48.28"/>
    <s v="Yes"/>
    <n v="47.45"/>
    <n v="23.73"/>
    <n v="17"/>
  </r>
  <r>
    <x v="8"/>
    <x v="5"/>
    <s v="Sony Interactive Entertainment"/>
    <x v="5"/>
    <x v="5"/>
    <x v="1"/>
    <x v="5"/>
    <s v="Decima"/>
    <s v="Teen"/>
    <n v="85"/>
    <n v="3.2"/>
    <n v="13.49"/>
    <s v="Yes"/>
    <n v="97.97"/>
    <n v="48.98"/>
    <n v="16"/>
  </r>
  <r>
    <x v="9"/>
    <x v="5"/>
    <s v="Sony Interactive Entertainment"/>
    <x v="6"/>
    <x v="6"/>
    <x v="1"/>
    <x v="1"/>
    <s v="Decima"/>
    <s v="Teen"/>
    <n v="67"/>
    <n v="9.61"/>
    <n v="20.95"/>
    <s v="Yes"/>
    <n v="41.24"/>
    <n v="61.07"/>
    <n v="7"/>
  </r>
  <r>
    <x v="9"/>
    <x v="5"/>
    <s v="Sony Interactive Entertainment"/>
    <x v="6"/>
    <x v="6"/>
    <x v="1"/>
    <x v="2"/>
    <s v="Decima"/>
    <s v="Teen"/>
    <n v="69"/>
    <n v="9.42"/>
    <n v="142.85"/>
    <s v="Yes"/>
    <n v="117.89"/>
    <n v="58.95"/>
    <n v="2"/>
  </r>
  <r>
    <x v="10"/>
    <x v="6"/>
    <s v="Bethesda Softworks"/>
    <x v="7"/>
    <x v="7"/>
    <x v="1"/>
    <x v="0"/>
    <s v="Creation Engine"/>
    <s v="Teen"/>
    <n v="84"/>
    <n v="5.88"/>
    <n v="131.16999999999999"/>
    <s v="Yes"/>
    <n v="187.27"/>
    <n v="93.64"/>
    <n v="10"/>
  </r>
  <r>
    <x v="10"/>
    <x v="6"/>
    <s v="Bethesda Softworks"/>
    <x v="7"/>
    <x v="7"/>
    <x v="1"/>
    <x v="1"/>
    <s v="Creation Engine"/>
    <s v="Teen"/>
    <n v="68"/>
    <n v="4.0199999999999996"/>
    <n v="168.25"/>
    <s v="Yes"/>
    <n v="63.5"/>
    <n v="31.75"/>
    <n v="2"/>
  </r>
  <r>
    <x v="10"/>
    <x v="6"/>
    <s v="Bethesda Softworks"/>
    <x v="7"/>
    <x v="7"/>
    <x v="1"/>
    <x v="2"/>
    <s v="Creation Engine"/>
    <s v="Teen"/>
    <n v="78"/>
    <n v="6.25"/>
    <n v="141.19"/>
    <s v="Yes"/>
    <n v="24.5"/>
    <n v="36.49"/>
    <n v="16"/>
  </r>
  <r>
    <x v="10"/>
    <x v="6"/>
    <s v="Bethesda Softworks"/>
    <x v="7"/>
    <x v="7"/>
    <x v="1"/>
    <x v="3"/>
    <s v="Creation Engine"/>
    <s v="Teen"/>
    <n v="71"/>
    <n v="9.34"/>
    <n v="220.34"/>
    <s v="Yes"/>
    <n v="176.46"/>
    <n v="88.23"/>
    <n v="5"/>
  </r>
  <r>
    <x v="10"/>
    <x v="6"/>
    <s v="Bethesda Softworks"/>
    <x v="7"/>
    <x v="7"/>
    <x v="1"/>
    <x v="4"/>
    <s v="Creation Engine"/>
    <s v="Teen"/>
    <n v="86"/>
    <n v="5.48"/>
    <n v="76.33"/>
    <s v="Yes"/>
    <n v="196.85"/>
    <n v="98.42"/>
    <n v="16"/>
  </r>
  <r>
    <x v="10"/>
    <x v="6"/>
    <s v="Bethesda Softworks"/>
    <x v="7"/>
    <x v="7"/>
    <x v="1"/>
    <x v="6"/>
    <s v="Creation Engine"/>
    <s v="Teen"/>
    <n v="85"/>
    <n v="8.19"/>
    <n v="75.55"/>
    <s v="Yes"/>
    <n v="134.36000000000001"/>
    <n v="77.400000000000006"/>
    <n v="4"/>
  </r>
  <r>
    <x v="10"/>
    <x v="6"/>
    <s v="Bethesda Softworks"/>
    <x v="7"/>
    <x v="7"/>
    <x v="1"/>
    <x v="5"/>
    <s v="Creation Engine"/>
    <s v="Teen"/>
    <n v="68"/>
    <n v="8.91"/>
    <n v="185.86"/>
    <s v="Yes"/>
    <n v="35.31"/>
    <n v="31.5"/>
    <n v="6"/>
  </r>
  <r>
    <x v="11"/>
    <x v="6"/>
    <s v="Bethesda Softworks"/>
    <x v="3"/>
    <x v="3"/>
    <x v="1"/>
    <x v="1"/>
    <s v="Creation Engine"/>
    <s v="Mature"/>
    <n v="67"/>
    <n v="6.91"/>
    <n v="213.38"/>
    <s v="Yes"/>
    <n v="103.55"/>
    <n v="51.77"/>
    <n v="1"/>
  </r>
  <r>
    <x v="11"/>
    <x v="6"/>
    <s v="Bethesda Softworks"/>
    <x v="3"/>
    <x v="3"/>
    <x v="1"/>
    <x v="4"/>
    <s v="Creation Engine"/>
    <s v="Mature"/>
    <n v="84"/>
    <n v="4.29"/>
    <n v="69.89"/>
    <s v="Yes"/>
    <n v="5.69"/>
    <n v="34.06"/>
    <n v="20"/>
  </r>
  <r>
    <x v="11"/>
    <x v="6"/>
    <s v="Bethesda Softworks"/>
    <x v="3"/>
    <x v="3"/>
    <x v="1"/>
    <x v="5"/>
    <s v="Creation Engine"/>
    <s v="Mature"/>
    <n v="67"/>
    <n v="7.44"/>
    <n v="138.37"/>
    <s v="Yes"/>
    <n v="88.4"/>
    <n v="44.2"/>
    <n v="2"/>
  </r>
  <r>
    <x v="12"/>
    <x v="7"/>
    <s v="Bethesda Softworks"/>
    <x v="8"/>
    <x v="8"/>
    <x v="1"/>
    <x v="0"/>
    <s v="Gamebryo"/>
    <s v="Mature"/>
    <n v="81"/>
    <n v="0.46"/>
    <n v="92.93"/>
    <s v="Yes"/>
    <n v="112.74"/>
    <n v="56.37"/>
    <n v="1"/>
  </r>
  <r>
    <x v="12"/>
    <x v="7"/>
    <s v="Bethesda Softworks"/>
    <x v="8"/>
    <x v="8"/>
    <x v="1"/>
    <x v="3"/>
    <s v="Gamebryo"/>
    <s v="Mature"/>
    <n v="81"/>
    <n v="9"/>
    <n v="199.23"/>
    <s v="Yes"/>
    <n v="172.84"/>
    <n v="86.42"/>
    <n v="6"/>
  </r>
  <r>
    <x v="12"/>
    <x v="7"/>
    <s v="Bethesda Softworks"/>
    <x v="8"/>
    <x v="8"/>
    <x v="1"/>
    <x v="5"/>
    <s v="Gamebryo"/>
    <s v="Mature"/>
    <n v="69"/>
    <n v="6.7"/>
    <n v="89.07"/>
    <s v="Yes"/>
    <n v="114.18"/>
    <n v="59.45"/>
    <n v="19"/>
  </r>
  <r>
    <x v="13"/>
    <x v="8"/>
    <s v="Nintendo"/>
    <x v="5"/>
    <x v="5"/>
    <x v="0"/>
    <x v="6"/>
    <s v="Havok/Custom"/>
    <s v="E10+"/>
    <n v="89"/>
    <n v="9.31"/>
    <n v="216.29"/>
    <s v="Yes"/>
    <n v="195.36"/>
    <n v="97.68"/>
    <n v="13"/>
  </r>
  <r>
    <x v="13"/>
    <x v="8"/>
    <s v="Nintendo"/>
    <x v="5"/>
    <x v="5"/>
    <x v="0"/>
    <x v="8"/>
    <s v="Havok/Custom"/>
    <s v="E10+"/>
    <n v="93"/>
    <n v="3.39"/>
    <n v="232.77"/>
    <s v="Yes"/>
    <n v="161.44"/>
    <n v="80.72"/>
    <n v="7"/>
  </r>
  <r>
    <x v="14"/>
    <x v="8"/>
    <s v="Nintendo"/>
    <x v="9"/>
    <x v="9"/>
    <x v="0"/>
    <x v="6"/>
    <s v="Havok/Custom"/>
    <s v="E10+"/>
    <n v="87"/>
    <n v="1.17"/>
    <n v="218.17"/>
    <s v="Yes"/>
    <n v="172.43"/>
    <n v="86.22"/>
    <n v="14"/>
  </r>
  <r>
    <x v="15"/>
    <x v="0"/>
    <s v="Rockstar Games"/>
    <x v="10"/>
    <x v="10"/>
    <x v="0"/>
    <x v="9"/>
    <s v="RAGE"/>
    <s v="Mature"/>
    <n v="86"/>
    <n v="35.11"/>
    <n v="56.51"/>
    <s v="No"/>
    <n v="133.71"/>
    <n v="161.02000000000001"/>
    <n v="8"/>
  </r>
  <r>
    <x v="15"/>
    <x v="0"/>
    <s v="Rockstar Games"/>
    <x v="10"/>
    <x v="10"/>
    <x v="0"/>
    <x v="10"/>
    <s v="RAGE"/>
    <s v="Mature"/>
    <n v="68"/>
    <n v="15.34"/>
    <n v="127.84"/>
    <s v="Yes"/>
    <n v="137.51"/>
    <n v="131.82"/>
    <n v="10"/>
  </r>
  <r>
    <x v="15"/>
    <x v="0"/>
    <s v="Rockstar Games"/>
    <x v="10"/>
    <x v="10"/>
    <x v="0"/>
    <x v="5"/>
    <s v="RAGE"/>
    <s v="Mature"/>
    <n v="73"/>
    <n v="8.7899999999999991"/>
    <n v="240.67"/>
    <s v="No"/>
    <n v="56.77"/>
    <n v="28.39"/>
    <n v="13"/>
  </r>
  <r>
    <x v="16"/>
    <x v="0"/>
    <s v="Rockstar Games"/>
    <x v="11"/>
    <x v="11"/>
    <x v="0"/>
    <x v="9"/>
    <s v="RAGE"/>
    <s v="Mature"/>
    <n v="74"/>
    <n v="18.579999999999998"/>
    <n v="246.07"/>
    <s v="Yes"/>
    <n v="27.55"/>
    <n v="169"/>
    <n v="6"/>
  </r>
  <r>
    <x v="16"/>
    <x v="0"/>
    <s v="Rockstar Games"/>
    <x v="11"/>
    <x v="11"/>
    <x v="0"/>
    <x v="10"/>
    <s v="RAGE"/>
    <s v="Mature"/>
    <n v="78"/>
    <n v="2.06"/>
    <n v="231.47"/>
    <s v="No"/>
    <n v="110"/>
    <n v="55"/>
    <n v="6"/>
  </r>
  <r>
    <x v="16"/>
    <x v="0"/>
    <s v="Rockstar Games"/>
    <x v="11"/>
    <x v="11"/>
    <x v="0"/>
    <x v="5"/>
    <s v="RAGE"/>
    <s v="Mature"/>
    <n v="98"/>
    <n v="27.24"/>
    <n v="83.22"/>
    <s v="Yes"/>
    <n v="66.209999999999994"/>
    <n v="235.14"/>
    <n v="9"/>
  </r>
  <r>
    <x v="17"/>
    <x v="9"/>
    <s v="Sony Interactive Entertainment"/>
    <x v="4"/>
    <x v="4"/>
    <x v="0"/>
    <x v="1"/>
    <s v="Decima"/>
    <s v="Teen"/>
    <n v="83"/>
    <n v="3.33"/>
    <n v="174.6"/>
    <s v="No"/>
    <n v="113.11"/>
    <n v="56.55"/>
    <n v="12"/>
  </r>
  <r>
    <x v="17"/>
    <x v="9"/>
    <s v="Sony Interactive Entertainment"/>
    <x v="4"/>
    <x v="4"/>
    <x v="0"/>
    <x v="2"/>
    <s v="Decima"/>
    <s v="Teen"/>
    <n v="68"/>
    <n v="6.19"/>
    <n v="75.94"/>
    <s v="No"/>
    <n v="111.85"/>
    <n v="55.92"/>
    <n v="9"/>
  </r>
  <r>
    <x v="17"/>
    <x v="9"/>
    <s v="Sony Interactive Entertainment"/>
    <x v="4"/>
    <x v="4"/>
    <x v="0"/>
    <x v="5"/>
    <s v="Decima"/>
    <s v="Teen"/>
    <n v="85"/>
    <n v="6.11"/>
    <n v="81.239999999999995"/>
    <s v="No"/>
    <n v="91.15"/>
    <n v="45.58"/>
    <n v="16"/>
  </r>
  <r>
    <x v="18"/>
    <x v="10"/>
    <s v="Sony Interactive Entertainment"/>
    <x v="12"/>
    <x v="12"/>
    <x v="0"/>
    <x v="1"/>
    <s v="Proprietary"/>
    <s v="Mature"/>
    <n v="99"/>
    <n v="7.98"/>
    <n v="43.25"/>
    <s v="Yes"/>
    <n v="21.54"/>
    <n v="45"/>
    <n v="20"/>
  </r>
  <r>
    <x v="18"/>
    <x v="10"/>
    <s v="Sony Interactive Entertainment"/>
    <x v="12"/>
    <x v="12"/>
    <x v="0"/>
    <x v="5"/>
    <s v="Proprietary"/>
    <s v="Mature"/>
    <n v="86"/>
    <n v="9.52"/>
    <n v="59.48"/>
    <s v="Yes"/>
    <n v="65.53"/>
    <n v="78.63"/>
    <n v="4"/>
  </r>
  <r>
    <x v="19"/>
    <x v="11"/>
    <s v="Sony Interactive Entertainment"/>
    <x v="12"/>
    <x v="12"/>
    <x v="0"/>
    <x v="1"/>
    <s v="Decima/RE Engine"/>
    <s v="Mature"/>
    <n v="78"/>
    <n v="6.15"/>
    <n v="192.35"/>
    <s v="No"/>
    <n v="93.81"/>
    <n v="55.2"/>
    <n v="18"/>
  </r>
  <r>
    <x v="19"/>
    <x v="11"/>
    <s v="Sony Interactive Entertainment"/>
    <x v="12"/>
    <x v="12"/>
    <x v="0"/>
    <x v="2"/>
    <s v="Decima/RE Engine"/>
    <s v="Mature"/>
    <n v="78"/>
    <n v="4.99"/>
    <n v="61.75"/>
    <s v="Yes"/>
    <n v="132.93"/>
    <n v="66.47"/>
    <n v="3"/>
  </r>
  <r>
    <x v="19"/>
    <x v="11"/>
    <s v="Sony Interactive Entertainment"/>
    <x v="12"/>
    <x v="12"/>
    <x v="0"/>
    <x v="5"/>
    <s v="Decima/RE Engine"/>
    <s v="Mature"/>
    <n v="92"/>
    <n v="9.58"/>
    <n v="129.97"/>
    <s v="Yes"/>
    <n v="14.79"/>
    <n v="31.07"/>
    <n v="3"/>
  </r>
  <r>
    <x v="20"/>
    <x v="12"/>
    <s v="Mojang (Microsoft)"/>
    <x v="7"/>
    <x v="7"/>
    <x v="2"/>
    <x v="1"/>
    <s v="Custom"/>
    <s v="Everyone"/>
    <n v="83"/>
    <n v="136.84"/>
    <n v="246.99"/>
    <s v="Yes"/>
    <n v="121.11"/>
    <n v="1306.8699999999999"/>
    <n v="14"/>
  </r>
  <r>
    <x v="20"/>
    <x v="12"/>
    <s v="Mojang (Microsoft)"/>
    <x v="7"/>
    <x v="7"/>
    <x v="2"/>
    <x v="4"/>
    <s v="Custom"/>
    <s v="Everyone"/>
    <n v="93"/>
    <n v="146.66"/>
    <n v="126.69"/>
    <s v="Yes"/>
    <n v="166.96"/>
    <n v="869.82"/>
    <n v="5"/>
  </r>
  <r>
    <x v="20"/>
    <x v="12"/>
    <s v="Mojang (Microsoft)"/>
    <x v="7"/>
    <x v="7"/>
    <x v="2"/>
    <x v="6"/>
    <s v="Custom"/>
    <s v="Everyone"/>
    <n v="81"/>
    <n v="59.25"/>
    <n v="62.56"/>
    <s v="Yes"/>
    <n v="129.34"/>
    <n v="467.62"/>
    <n v="16"/>
  </r>
  <r>
    <x v="20"/>
    <x v="12"/>
    <s v="Mojang (Microsoft)"/>
    <x v="7"/>
    <x v="7"/>
    <x v="2"/>
    <x v="5"/>
    <s v="Custom"/>
    <s v="Everyone"/>
    <n v="85"/>
    <n v="55.46"/>
    <n v="110.53"/>
    <s v="Yes"/>
    <n v="144.13999999999999"/>
    <n v="172.51"/>
    <n v="10"/>
  </r>
  <r>
    <x v="20"/>
    <x v="12"/>
    <s v="Mojang (Microsoft)"/>
    <x v="7"/>
    <x v="7"/>
    <x v="2"/>
    <x v="11"/>
    <s v="Custom"/>
    <s v="Everyone"/>
    <n v="89"/>
    <n v="112.63"/>
    <n v="35.46"/>
    <s v="Yes"/>
    <n v="50.1"/>
    <n v="816.07"/>
    <n v="6"/>
  </r>
  <r>
    <x v="21"/>
    <x v="13"/>
    <s v="Hello Games"/>
    <x v="13"/>
    <x v="13"/>
    <x v="3"/>
    <x v="1"/>
    <s v="Custom"/>
    <s v="Everyone"/>
    <n v="79"/>
    <n v="4.1399999999999997"/>
    <n v="136.11000000000001"/>
    <s v="Yes"/>
    <n v="86.08"/>
    <n v="43.04"/>
    <n v="13"/>
  </r>
  <r>
    <x v="21"/>
    <x v="13"/>
    <s v="Hello Games"/>
    <x v="13"/>
    <x v="13"/>
    <x v="3"/>
    <x v="2"/>
    <s v="Custom"/>
    <s v="Everyone"/>
    <n v="94"/>
    <n v="7.72"/>
    <n v="236.57"/>
    <s v="Yes"/>
    <n v="8.81"/>
    <n v="68.91"/>
    <n v="18"/>
  </r>
  <r>
    <x v="21"/>
    <x v="13"/>
    <s v="Hello Games"/>
    <x v="13"/>
    <x v="13"/>
    <x v="3"/>
    <x v="4"/>
    <s v="Custom"/>
    <s v="Everyone"/>
    <n v="83"/>
    <n v="0.16"/>
    <n v="88.59"/>
    <s v="Yes"/>
    <n v="151.93"/>
    <n v="75.97"/>
    <n v="13"/>
  </r>
  <r>
    <x v="21"/>
    <x v="13"/>
    <s v="Hello Games"/>
    <x v="13"/>
    <x v="13"/>
    <x v="3"/>
    <x v="5"/>
    <s v="Custom"/>
    <s v="Everyone"/>
    <n v="89"/>
    <n v="7.37"/>
    <n v="200.17"/>
    <s v="Yes"/>
    <n v="180.07"/>
    <n v="90.03"/>
    <n v="8"/>
  </r>
  <r>
    <x v="22"/>
    <x v="7"/>
    <s v="Private Division"/>
    <x v="12"/>
    <x v="12"/>
    <x v="1"/>
    <x v="1"/>
    <s v="Unreal Engine"/>
    <s v="Mature"/>
    <n v="82"/>
    <n v="0.39"/>
    <n v="84.7"/>
    <s v="Yes"/>
    <n v="137.43"/>
    <n v="68.72"/>
    <n v="5"/>
  </r>
  <r>
    <x v="22"/>
    <x v="7"/>
    <s v="Private Division"/>
    <x v="12"/>
    <x v="12"/>
    <x v="1"/>
    <x v="4"/>
    <s v="Unreal Engine"/>
    <s v="Mature"/>
    <n v="99"/>
    <n v="1.36"/>
    <n v="155.94"/>
    <s v="Yes"/>
    <n v="10.26"/>
    <n v="6.18"/>
    <n v="18"/>
  </r>
  <r>
    <x v="22"/>
    <x v="7"/>
    <s v="Private Division"/>
    <x v="12"/>
    <x v="12"/>
    <x v="1"/>
    <x v="5"/>
    <s v="Unreal Engine"/>
    <s v="Mature"/>
    <n v="66"/>
    <n v="0.93"/>
    <n v="107.72"/>
    <s v="Yes"/>
    <n v="174.04"/>
    <n v="87.02"/>
    <n v="8"/>
  </r>
  <r>
    <x v="22"/>
    <x v="7"/>
    <s v="Private Division"/>
    <x v="12"/>
    <x v="12"/>
    <x v="1"/>
    <x v="6"/>
    <s v="Unreal Engine"/>
    <s v="Mature"/>
    <n v="74"/>
    <n v="2.2000000000000002"/>
    <n v="82.38"/>
    <s v="Yes"/>
    <n v="153.44"/>
    <n v="76.72"/>
    <n v="13"/>
  </r>
  <r>
    <x v="23"/>
    <x v="3"/>
    <s v="Ubisoft"/>
    <x v="13"/>
    <x v="13"/>
    <x v="0"/>
    <x v="1"/>
    <s v="Disrupt"/>
    <s v="Mature"/>
    <n v="89"/>
    <n v="0.91"/>
    <n v="5.83"/>
    <s v="No"/>
    <n v="110.19"/>
    <n v="55.09"/>
    <n v="11"/>
  </r>
  <r>
    <x v="23"/>
    <x v="3"/>
    <s v="Ubisoft"/>
    <x v="13"/>
    <x v="13"/>
    <x v="0"/>
    <x v="4"/>
    <s v="Disrupt"/>
    <s v="Mature"/>
    <n v="93"/>
    <n v="9.58"/>
    <n v="11.02"/>
    <s v="Yes"/>
    <n v="11.05"/>
    <n v="30.9"/>
    <n v="0"/>
  </r>
  <r>
    <x v="23"/>
    <x v="3"/>
    <s v="Ubisoft"/>
    <x v="13"/>
    <x v="13"/>
    <x v="0"/>
    <x v="5"/>
    <s v="Disrupt"/>
    <s v="Mature"/>
    <n v="69"/>
    <n v="4.79"/>
    <n v="29.48"/>
    <s v="Yes"/>
    <n v="189.81"/>
    <n v="94.91"/>
    <n v="8"/>
  </r>
  <r>
    <x v="24"/>
    <x v="14"/>
    <s v="Ubisoft"/>
    <x v="4"/>
    <x v="4"/>
    <x v="0"/>
    <x v="1"/>
    <s v="Disrupt"/>
    <s v="Mature"/>
    <n v="80"/>
    <n v="9.64"/>
    <n v="179.87"/>
    <s v="No"/>
    <n v="156.66999999999999"/>
    <n v="78.33"/>
    <n v="9"/>
  </r>
  <r>
    <x v="24"/>
    <x v="14"/>
    <s v="Ubisoft"/>
    <x v="4"/>
    <x v="4"/>
    <x v="0"/>
    <x v="2"/>
    <s v="Disrupt"/>
    <s v="Mature"/>
    <n v="90"/>
    <n v="3.19"/>
    <n v="169.66"/>
    <s v="No"/>
    <n v="191.84"/>
    <n v="95.92"/>
    <n v="6"/>
  </r>
  <r>
    <x v="24"/>
    <x v="14"/>
    <s v="Ubisoft"/>
    <x v="4"/>
    <x v="4"/>
    <x v="0"/>
    <x v="4"/>
    <s v="Disrupt"/>
    <s v="Mature"/>
    <n v="87"/>
    <n v="6.31"/>
    <n v="26.37"/>
    <s v="No"/>
    <n v="155.63"/>
    <n v="77.81"/>
    <n v="19"/>
  </r>
  <r>
    <x v="24"/>
    <x v="14"/>
    <s v="Ubisoft"/>
    <x v="4"/>
    <x v="4"/>
    <x v="0"/>
    <x v="7"/>
    <s v="Disrupt"/>
    <s v="Mature"/>
    <n v="88"/>
    <n v="7.85"/>
    <n v="87.45"/>
    <s v="Yes"/>
    <n v="88.53"/>
    <n v="44.27"/>
    <n v="16"/>
  </r>
  <r>
    <x v="24"/>
    <x v="14"/>
    <s v="Ubisoft"/>
    <x v="4"/>
    <x v="4"/>
    <x v="0"/>
    <x v="5"/>
    <s v="Disrupt"/>
    <s v="Mature"/>
    <n v="89"/>
    <n v="4.26"/>
    <n v="123.06"/>
    <s v="No"/>
    <n v="89.54"/>
    <n v="44.77"/>
    <n v="14"/>
  </r>
  <r>
    <x v="25"/>
    <x v="3"/>
    <s v="Ubisoft"/>
    <x v="14"/>
    <x v="14"/>
    <x v="4"/>
    <x v="0"/>
    <s v="Dunia"/>
    <s v="Mature"/>
    <n v="90"/>
    <n v="21.83"/>
    <n v="162.96"/>
    <s v="No"/>
    <n v="125.1"/>
    <n v="202.51"/>
    <n v="15"/>
  </r>
  <r>
    <x v="25"/>
    <x v="3"/>
    <s v="Ubisoft"/>
    <x v="14"/>
    <x v="14"/>
    <x v="4"/>
    <x v="3"/>
    <s v="Dunia"/>
    <s v="Mature"/>
    <n v="90"/>
    <n v="24.51"/>
    <n v="81.25"/>
    <s v="Yes"/>
    <n v="52.87"/>
    <n v="230.68"/>
    <n v="8"/>
  </r>
  <r>
    <x v="25"/>
    <x v="3"/>
    <s v="Ubisoft"/>
    <x v="14"/>
    <x v="14"/>
    <x v="4"/>
    <x v="5"/>
    <s v="Dunia"/>
    <s v="Mature"/>
    <n v="76"/>
    <n v="23.65"/>
    <n v="167.38"/>
    <s v="No"/>
    <n v="70.599999999999994"/>
    <n v="128.86000000000001"/>
    <n v="10"/>
  </r>
  <r>
    <x v="26"/>
    <x v="3"/>
    <s v="Ubisoft"/>
    <x v="15"/>
    <x v="15"/>
    <x v="4"/>
    <x v="0"/>
    <s v="Dunia"/>
    <s v="Mature"/>
    <n v="79"/>
    <n v="32.32"/>
    <n v="85.74"/>
    <s v="Yes"/>
    <n v="176.66"/>
    <n v="236.28"/>
    <n v="8"/>
  </r>
  <r>
    <x v="26"/>
    <x v="3"/>
    <s v="Ubisoft"/>
    <x v="15"/>
    <x v="15"/>
    <x v="4"/>
    <x v="1"/>
    <s v="Dunia"/>
    <s v="Mature"/>
    <n v="97"/>
    <n v="9.26"/>
    <n v="61.1"/>
    <s v="No"/>
    <n v="84.25"/>
    <n v="55.53"/>
    <n v="7"/>
  </r>
  <r>
    <x v="26"/>
    <x v="3"/>
    <s v="Ubisoft"/>
    <x v="15"/>
    <x v="15"/>
    <x v="4"/>
    <x v="3"/>
    <s v="Dunia"/>
    <s v="Mature"/>
    <n v="79"/>
    <n v="19.03"/>
    <n v="5.29"/>
    <s v="No"/>
    <n v="62.38"/>
    <n v="88.29"/>
    <n v="7"/>
  </r>
  <r>
    <x v="26"/>
    <x v="3"/>
    <s v="Ubisoft"/>
    <x v="15"/>
    <x v="15"/>
    <x v="4"/>
    <x v="4"/>
    <s v="Dunia"/>
    <s v="Mature"/>
    <n v="76"/>
    <n v="19.98"/>
    <n v="133.19999999999999"/>
    <s v="No"/>
    <n v="87.97"/>
    <n v="154.11000000000001"/>
    <n v="10"/>
  </r>
  <r>
    <x v="26"/>
    <x v="3"/>
    <s v="Ubisoft"/>
    <x v="15"/>
    <x v="15"/>
    <x v="4"/>
    <x v="5"/>
    <s v="Dunia"/>
    <s v="Mature"/>
    <n v="70"/>
    <n v="13.65"/>
    <n v="58.4"/>
    <s v="Yes"/>
    <n v="145.65"/>
    <n v="72.83"/>
    <n v="17"/>
  </r>
  <r>
    <x v="27"/>
    <x v="3"/>
    <s v="Ubisoft"/>
    <x v="2"/>
    <x v="2"/>
    <x v="4"/>
    <x v="1"/>
    <s v="Dunia"/>
    <s v="Mature"/>
    <n v="84"/>
    <n v="20.399999999999999"/>
    <n v="181.42"/>
    <s v="No"/>
    <n v="195.44"/>
    <n v="116.72"/>
    <n v="9"/>
  </r>
  <r>
    <x v="27"/>
    <x v="3"/>
    <s v="Ubisoft"/>
    <x v="2"/>
    <x v="2"/>
    <x v="4"/>
    <x v="4"/>
    <s v="Dunia"/>
    <s v="Mature"/>
    <n v="69"/>
    <n v="10.64"/>
    <n v="45.68"/>
    <s v="No"/>
    <n v="7.76"/>
    <n v="61.79"/>
    <n v="8"/>
  </r>
  <r>
    <x v="27"/>
    <x v="3"/>
    <s v="Ubisoft"/>
    <x v="2"/>
    <x v="2"/>
    <x v="4"/>
    <x v="5"/>
    <s v="Dunia"/>
    <s v="Mature"/>
    <n v="77"/>
    <n v="13.1"/>
    <n v="236.08"/>
    <s v="No"/>
    <n v="129.38"/>
    <n v="101.85"/>
    <n v="3"/>
  </r>
  <r>
    <x v="28"/>
    <x v="14"/>
    <s v="Ubisoft"/>
    <x v="16"/>
    <x v="16"/>
    <x v="4"/>
    <x v="1"/>
    <s v="Dunia"/>
    <s v="Mature"/>
    <n v="76"/>
    <n v="20.190000000000001"/>
    <n v="85.84"/>
    <s v="No"/>
    <n v="193.27"/>
    <n v="96.64"/>
    <n v="15"/>
  </r>
  <r>
    <x v="28"/>
    <x v="14"/>
    <s v="Ubisoft"/>
    <x v="16"/>
    <x v="16"/>
    <x v="4"/>
    <x v="2"/>
    <s v="Dunia"/>
    <s v="Mature"/>
    <n v="76"/>
    <n v="20.69"/>
    <n v="144.68"/>
    <s v="Yes"/>
    <n v="138.86000000000001"/>
    <n v="69.430000000000007"/>
    <n v="18"/>
  </r>
  <r>
    <x v="28"/>
    <x v="14"/>
    <s v="Ubisoft"/>
    <x v="16"/>
    <x v="16"/>
    <x v="4"/>
    <x v="4"/>
    <s v="Dunia"/>
    <s v="Mature"/>
    <n v="75"/>
    <n v="6.5"/>
    <n v="191.35"/>
    <s v="No"/>
    <n v="123.23"/>
    <n v="61.62"/>
    <n v="7"/>
  </r>
  <r>
    <x v="28"/>
    <x v="14"/>
    <s v="Ubisoft"/>
    <x v="16"/>
    <x v="16"/>
    <x v="4"/>
    <x v="7"/>
    <s v="Dunia"/>
    <s v="Mature"/>
    <n v="89"/>
    <n v="18.82"/>
    <n v="215.18"/>
    <s v="No"/>
    <n v="198.06"/>
    <n v="99.03"/>
    <n v="19"/>
  </r>
  <r>
    <x v="28"/>
    <x v="14"/>
    <s v="Ubisoft"/>
    <x v="16"/>
    <x v="16"/>
    <x v="4"/>
    <x v="5"/>
    <s v="Dunia"/>
    <s v="Mature"/>
    <n v="85"/>
    <n v="5.77"/>
    <n v="190.92"/>
    <s v="Yes"/>
    <n v="126.98"/>
    <n v="63.49"/>
    <n v="2"/>
  </r>
  <r>
    <x v="29"/>
    <x v="15"/>
    <s v="Square Enix"/>
    <x v="3"/>
    <x v="3"/>
    <x v="0"/>
    <x v="1"/>
    <s v="Avalanche Engine"/>
    <s v="Mature"/>
    <n v="77"/>
    <n v="0.84"/>
    <n v="1.67"/>
    <s v="Yes"/>
    <n v="92.85"/>
    <n v="46.42"/>
    <n v="9"/>
  </r>
  <r>
    <x v="29"/>
    <x v="15"/>
    <s v="Square Enix"/>
    <x v="3"/>
    <x v="3"/>
    <x v="0"/>
    <x v="4"/>
    <s v="Avalanche Engine"/>
    <s v="Mature"/>
    <n v="92"/>
    <n v="2.9"/>
    <n v="215.04"/>
    <s v="No"/>
    <n v="18.88"/>
    <n v="9.44"/>
    <n v="8"/>
  </r>
  <r>
    <x v="29"/>
    <x v="15"/>
    <s v="Square Enix"/>
    <x v="3"/>
    <x v="3"/>
    <x v="0"/>
    <x v="5"/>
    <s v="Avalanche Engine"/>
    <s v="Mature"/>
    <n v="87"/>
    <n v="9.34"/>
    <n v="106.86"/>
    <s v="Yes"/>
    <n v="111.19"/>
    <n v="63.78"/>
    <n v="8"/>
  </r>
  <r>
    <x v="30"/>
    <x v="15"/>
    <s v="Square Enix"/>
    <x v="2"/>
    <x v="2"/>
    <x v="0"/>
    <x v="1"/>
    <s v="Avalanche Engine"/>
    <s v="Mature"/>
    <n v="66"/>
    <n v="7.95"/>
    <n v="149.16999999999999"/>
    <s v="No"/>
    <n v="165.73"/>
    <n v="82.86"/>
    <n v="14"/>
  </r>
  <r>
    <x v="30"/>
    <x v="15"/>
    <s v="Square Enix"/>
    <x v="2"/>
    <x v="2"/>
    <x v="0"/>
    <x v="4"/>
    <s v="Avalanche Engine"/>
    <s v="Mature"/>
    <n v="78"/>
    <n v="7.03"/>
    <n v="235.73"/>
    <s v="Yes"/>
    <n v="102.59"/>
    <n v="51.3"/>
    <n v="2"/>
  </r>
  <r>
    <x v="30"/>
    <x v="15"/>
    <s v="Square Enix"/>
    <x v="2"/>
    <x v="2"/>
    <x v="0"/>
    <x v="5"/>
    <s v="Avalanche Engine"/>
    <s v="Mature"/>
    <n v="82"/>
    <n v="7.37"/>
    <n v="151.32"/>
    <s v="No"/>
    <n v="10.039999999999999"/>
    <n v="22.55"/>
    <n v="18"/>
  </r>
  <r>
    <x v="31"/>
    <x v="16"/>
    <s v="THQ"/>
    <x v="7"/>
    <x v="7"/>
    <x v="0"/>
    <x v="0"/>
    <s v="Proprietary"/>
    <s v="Mature"/>
    <n v="92"/>
    <n v="6.76"/>
    <n v="68.11"/>
    <s v="No"/>
    <n v="12.85"/>
    <n v="52.77"/>
    <n v="15"/>
  </r>
  <r>
    <x v="31"/>
    <x v="16"/>
    <s v="THQ"/>
    <x v="7"/>
    <x v="7"/>
    <x v="0"/>
    <x v="3"/>
    <s v="Proprietary"/>
    <s v="Mature"/>
    <n v="96"/>
    <n v="2.85"/>
    <n v="249.24"/>
    <s v="Yes"/>
    <n v="90"/>
    <n v="45"/>
    <n v="2"/>
  </r>
  <r>
    <x v="31"/>
    <x v="16"/>
    <s v="THQ"/>
    <x v="7"/>
    <x v="7"/>
    <x v="0"/>
    <x v="5"/>
    <s v="Proprietary"/>
    <s v="Mature"/>
    <n v="74"/>
    <n v="3.28"/>
    <n v="27.05"/>
    <s v="No"/>
    <n v="36.36"/>
    <n v="18.18"/>
    <n v="15"/>
  </r>
  <r>
    <x v="32"/>
    <x v="17"/>
    <s v="2K Games"/>
    <x v="13"/>
    <x v="13"/>
    <x v="0"/>
    <x v="1"/>
    <s v="Proprietary"/>
    <s v="Mature"/>
    <n v="73"/>
    <n v="8.15"/>
    <n v="137.97"/>
    <s v="No"/>
    <n v="93.69"/>
    <n v="46.84"/>
    <n v="10"/>
  </r>
  <r>
    <x v="32"/>
    <x v="17"/>
    <s v="2K Games"/>
    <x v="13"/>
    <x v="13"/>
    <x v="0"/>
    <x v="4"/>
    <s v="Proprietary"/>
    <s v="Mature"/>
    <n v="78"/>
    <n v="8.66"/>
    <n v="206.41"/>
    <s v="Yes"/>
    <n v="5.22"/>
    <n v="76.42"/>
    <n v="14"/>
  </r>
  <r>
    <x v="32"/>
    <x v="17"/>
    <s v="2K Games"/>
    <x v="13"/>
    <x v="13"/>
    <x v="0"/>
    <x v="5"/>
    <s v="Proprietary"/>
    <s v="Mature"/>
    <n v="80"/>
    <n v="3.68"/>
    <n v="189.35"/>
    <s v="No"/>
    <n v="126.95"/>
    <n v="63.48"/>
    <n v="6"/>
  </r>
  <r>
    <x v="33"/>
    <x v="11"/>
    <s v="Konami"/>
    <x v="3"/>
    <x v="3"/>
    <x v="0"/>
    <x v="0"/>
    <s v="Fox Engine"/>
    <s v="Mature"/>
    <n v="98"/>
    <n v="2.95"/>
    <n v="220.33"/>
    <s v="No"/>
    <n v="99.52"/>
    <n v="49.76"/>
    <n v="20"/>
  </r>
  <r>
    <x v="33"/>
    <x v="11"/>
    <s v="Konami"/>
    <x v="3"/>
    <x v="3"/>
    <x v="0"/>
    <x v="1"/>
    <s v="Fox Engine"/>
    <s v="Mature"/>
    <n v="89"/>
    <n v="1.67"/>
    <n v="138.16"/>
    <s v="No"/>
    <n v="112.69"/>
    <n v="56.34"/>
    <n v="3"/>
  </r>
  <r>
    <x v="33"/>
    <x v="11"/>
    <s v="Konami"/>
    <x v="3"/>
    <x v="3"/>
    <x v="0"/>
    <x v="3"/>
    <s v="Fox Engine"/>
    <s v="Mature"/>
    <n v="86"/>
    <n v="8.34"/>
    <n v="125.1"/>
    <s v="No"/>
    <n v="144.74"/>
    <n v="72.37"/>
    <n v="8"/>
  </r>
  <r>
    <x v="33"/>
    <x v="11"/>
    <s v="Konami"/>
    <x v="3"/>
    <x v="3"/>
    <x v="0"/>
    <x v="4"/>
    <s v="Fox Engine"/>
    <s v="Mature"/>
    <n v="77"/>
    <n v="2.5099999999999998"/>
    <n v="138.27000000000001"/>
    <s v="No"/>
    <n v="79.8"/>
    <n v="39.9"/>
    <n v="16"/>
  </r>
  <r>
    <x v="33"/>
    <x v="11"/>
    <s v="Konami"/>
    <x v="3"/>
    <x v="3"/>
    <x v="0"/>
    <x v="5"/>
    <s v="Fox Engine"/>
    <s v="Mature"/>
    <n v="68"/>
    <n v="7.75"/>
    <n v="213.75"/>
    <s v="Yes"/>
    <n v="71.28"/>
    <n v="62.69"/>
    <n v="8"/>
  </r>
  <r>
    <x v="34"/>
    <x v="18"/>
    <s v="Sega"/>
    <x v="3"/>
    <x v="3"/>
    <x v="0"/>
    <x v="0"/>
    <s v="Dragon Engine"/>
    <s v="Mature"/>
    <n v="77"/>
    <n v="8.39"/>
    <n v="145.4"/>
    <s v="No"/>
    <n v="133.69"/>
    <n v="73.73"/>
    <n v="14"/>
  </r>
  <r>
    <x v="34"/>
    <x v="18"/>
    <s v="Sega"/>
    <x v="3"/>
    <x v="3"/>
    <x v="0"/>
    <x v="1"/>
    <s v="Dragon Engine"/>
    <s v="Mature"/>
    <n v="73"/>
    <n v="5.56"/>
    <n v="136.31"/>
    <s v="No"/>
    <n v="93.79"/>
    <n v="46.9"/>
    <n v="6"/>
  </r>
  <r>
    <x v="34"/>
    <x v="18"/>
    <s v="Sega"/>
    <x v="3"/>
    <x v="3"/>
    <x v="0"/>
    <x v="5"/>
    <s v="Dragon Engine"/>
    <s v="Mature"/>
    <n v="73"/>
    <n v="8.57"/>
    <n v="103.28"/>
    <s v="No"/>
    <n v="67.040000000000006"/>
    <n v="45.05"/>
    <n v="12"/>
  </r>
  <r>
    <x v="35"/>
    <x v="18"/>
    <s v="Sega"/>
    <x v="4"/>
    <x v="4"/>
    <x v="5"/>
    <x v="1"/>
    <s v="Dragon Engine"/>
    <s v="Mature"/>
    <n v="94"/>
    <n v="8.23"/>
    <n v="245.22"/>
    <s v="Yes"/>
    <n v="101.59"/>
    <n v="50.8"/>
    <n v="16"/>
  </r>
  <r>
    <x v="35"/>
    <x v="18"/>
    <s v="Sega"/>
    <x v="4"/>
    <x v="4"/>
    <x v="5"/>
    <x v="2"/>
    <s v="Dragon Engine"/>
    <s v="Mature"/>
    <n v="69"/>
    <n v="8.75"/>
    <n v="110.64"/>
    <s v="No"/>
    <n v="107.56"/>
    <n v="53.78"/>
    <n v="4"/>
  </r>
  <r>
    <x v="35"/>
    <x v="18"/>
    <s v="Sega"/>
    <x v="4"/>
    <x v="4"/>
    <x v="5"/>
    <x v="4"/>
    <s v="Dragon Engine"/>
    <s v="Mature"/>
    <n v="74"/>
    <n v="0.84"/>
    <n v="195.6"/>
    <s v="Yes"/>
    <n v="56.68"/>
    <n v="28.34"/>
    <n v="12"/>
  </r>
  <r>
    <x v="35"/>
    <x v="18"/>
    <s v="Sega"/>
    <x v="4"/>
    <x v="4"/>
    <x v="5"/>
    <x v="7"/>
    <s v="Dragon Engine"/>
    <s v="Mature"/>
    <n v="78"/>
    <n v="8.5399999999999991"/>
    <n v="214.98"/>
    <s v="Yes"/>
    <n v="79.099999999999994"/>
    <n v="39.549999999999997"/>
    <n v="15"/>
  </r>
  <r>
    <x v="35"/>
    <x v="18"/>
    <s v="Sega"/>
    <x v="4"/>
    <x v="4"/>
    <x v="5"/>
    <x v="5"/>
    <s v="Dragon Engine"/>
    <s v="Mature"/>
    <n v="68"/>
    <n v="2.42"/>
    <n v="171.42"/>
    <s v="No"/>
    <n v="61.04"/>
    <n v="30.52"/>
    <n v="2"/>
  </r>
  <r>
    <x v="36"/>
    <x v="19"/>
    <s v="Deep Silver"/>
    <x v="12"/>
    <x v="12"/>
    <x v="0"/>
    <x v="1"/>
    <s v="YS Engine"/>
    <s v="Teen"/>
    <n v="84"/>
    <n v="6.37"/>
    <n v="218.27"/>
    <s v="Yes"/>
    <n v="91.52"/>
    <n v="46.16"/>
    <n v="0"/>
  </r>
  <r>
    <x v="36"/>
    <x v="19"/>
    <s v="Deep Silver"/>
    <x v="12"/>
    <x v="12"/>
    <x v="0"/>
    <x v="5"/>
    <s v="YS Engine"/>
    <s v="Teen"/>
    <n v="71"/>
    <n v="3"/>
    <n v="94.34"/>
    <s v="No"/>
    <n v="33.39"/>
    <n v="17.34"/>
    <n v="18"/>
  </r>
  <r>
    <x v="37"/>
    <x v="20"/>
    <s v="Unknown Worlds"/>
    <x v="2"/>
    <x v="2"/>
    <x v="6"/>
    <x v="5"/>
    <s v="Unity"/>
    <s v="Teen"/>
    <n v="74"/>
    <n v="1.83"/>
    <n v="152.76"/>
    <s v="Yes"/>
    <n v="79.599999999999994"/>
    <n v="39.799999999999997"/>
    <n v="15"/>
  </r>
  <r>
    <x v="37"/>
    <x v="20"/>
    <s v="Unknown Worlds"/>
    <x v="2"/>
    <x v="2"/>
    <x v="6"/>
    <x v="1"/>
    <s v="Unity"/>
    <s v="Teen"/>
    <n v="68"/>
    <n v="2.4"/>
    <n v="159.84"/>
    <s v="Yes"/>
    <n v="94.62"/>
    <n v="47.31"/>
    <n v="14"/>
  </r>
  <r>
    <x v="37"/>
    <x v="20"/>
    <s v="Unknown Worlds"/>
    <x v="2"/>
    <x v="2"/>
    <x v="6"/>
    <x v="4"/>
    <s v="Unity"/>
    <s v="Teen"/>
    <n v="91"/>
    <n v="5.51"/>
    <n v="19.39"/>
    <s v="Yes"/>
    <n v="189.32"/>
    <n v="94.66"/>
    <n v="9"/>
  </r>
  <r>
    <x v="37"/>
    <x v="20"/>
    <s v="Unknown Worlds"/>
    <x v="2"/>
    <x v="2"/>
    <x v="6"/>
    <x v="6"/>
    <s v="Unity"/>
    <s v="Teen"/>
    <n v="97"/>
    <n v="4.3"/>
    <n v="63.27"/>
    <s v="Yes"/>
    <n v="169.83"/>
    <n v="84.92"/>
    <n v="12"/>
  </r>
  <r>
    <x v="38"/>
    <x v="20"/>
    <s v="Unknown Worlds"/>
    <x v="16"/>
    <x v="16"/>
    <x v="6"/>
    <x v="5"/>
    <s v="Unity"/>
    <s v="Teen"/>
    <n v="63"/>
    <n v="2.4500000000000002"/>
    <n v="143.41"/>
    <s v="Yes"/>
    <n v="117.09"/>
    <n v="58.55"/>
    <n v="9"/>
  </r>
  <r>
    <x v="38"/>
    <x v="20"/>
    <s v="Unknown Worlds"/>
    <x v="16"/>
    <x v="16"/>
    <x v="6"/>
    <x v="1"/>
    <s v="Unity"/>
    <s v="Teen"/>
    <n v="95"/>
    <n v="6.62"/>
    <n v="69.349999999999994"/>
    <s v="Yes"/>
    <n v="115.36"/>
    <n v="57.68"/>
    <n v="1"/>
  </r>
  <r>
    <x v="38"/>
    <x v="20"/>
    <s v="Unknown Worlds"/>
    <x v="16"/>
    <x v="16"/>
    <x v="6"/>
    <x v="4"/>
    <s v="Unity"/>
    <s v="Teen"/>
    <n v="88"/>
    <n v="5.0199999999999996"/>
    <n v="226.13"/>
    <s v="Yes"/>
    <n v="60.81"/>
    <n v="41.11"/>
    <n v="19"/>
  </r>
  <r>
    <x v="38"/>
    <x v="20"/>
    <s v="Unknown Worlds"/>
    <x v="16"/>
    <x v="16"/>
    <x v="6"/>
    <x v="6"/>
    <s v="Unity"/>
    <s v="Teen"/>
    <n v="77"/>
    <n v="6.4"/>
    <n v="155.6"/>
    <s v="Yes"/>
    <n v="137.16"/>
    <n v="68.58"/>
    <n v="4"/>
  </r>
  <r>
    <x v="39"/>
    <x v="6"/>
    <s v="Bethesda Softworks"/>
    <x v="13"/>
    <x v="13"/>
    <x v="1"/>
    <x v="1"/>
    <s v="Creation Engine"/>
    <s v="Teen"/>
    <n v="68"/>
    <n v="9.0399999999999991"/>
    <n v="161.94"/>
    <s v="Yes"/>
    <n v="65.239999999999995"/>
    <n v="44.91"/>
    <n v="18"/>
  </r>
  <r>
    <x v="39"/>
    <x v="6"/>
    <s v="Bethesda Softworks"/>
    <x v="13"/>
    <x v="13"/>
    <x v="1"/>
    <x v="2"/>
    <s v="Creation Engine"/>
    <s v="Teen"/>
    <n v="85"/>
    <n v="1.4"/>
    <n v="227.5"/>
    <s v="Yes"/>
    <n v="68.709999999999994"/>
    <n v="34.35"/>
    <n v="6"/>
  </r>
  <r>
    <x v="39"/>
    <x v="6"/>
    <s v="Bethesda Softworks"/>
    <x v="13"/>
    <x v="13"/>
    <x v="1"/>
    <x v="4"/>
    <s v="Creation Engine"/>
    <s v="Teen"/>
    <n v="89"/>
    <n v="5.44"/>
    <n v="242.9"/>
    <s v="Yes"/>
    <n v="108.52"/>
    <n v="54.26"/>
    <n v="5"/>
  </r>
  <r>
    <x v="39"/>
    <x v="6"/>
    <s v="Bethesda Softworks"/>
    <x v="13"/>
    <x v="13"/>
    <x v="1"/>
    <x v="6"/>
    <s v="Creation Engine"/>
    <s v="Teen"/>
    <n v="90"/>
    <n v="8.26"/>
    <n v="120.98"/>
    <s v="Yes"/>
    <n v="162.27000000000001"/>
    <n v="81.14"/>
    <n v="10"/>
  </r>
  <r>
    <x v="39"/>
    <x v="6"/>
    <s v="Bethesda Softworks"/>
    <x v="13"/>
    <x v="13"/>
    <x v="1"/>
    <x v="5"/>
    <s v="Creation Engine"/>
    <s v="Teen"/>
    <n v="82"/>
    <n v="9.6300000000000008"/>
    <n v="36.049999999999997"/>
    <s v="Yes"/>
    <n v="193.47"/>
    <n v="96.73"/>
    <n v="12"/>
  </r>
  <r>
    <x v="40"/>
    <x v="21"/>
    <s v="THQ"/>
    <x v="17"/>
    <x v="17"/>
    <x v="6"/>
    <x v="5"/>
    <s v="X-Ray"/>
    <s v="Mature"/>
    <n v="81"/>
    <n v="0.99"/>
    <n v="99.25"/>
    <s v="Yes"/>
    <n v="56.57"/>
    <n v="28.29"/>
    <n v="11"/>
  </r>
  <r>
    <x v="41"/>
    <x v="22"/>
    <s v="Deep Silver"/>
    <x v="12"/>
    <x v="12"/>
    <x v="7"/>
    <x v="1"/>
    <s v="4A Engine"/>
    <s v="Mature"/>
    <n v="93"/>
    <n v="6.76"/>
    <n v="146.56"/>
    <s v="Yes"/>
    <n v="165.37"/>
    <n v="82.69"/>
    <n v="3"/>
  </r>
  <r>
    <x v="41"/>
    <x v="22"/>
    <s v="Deep Silver"/>
    <x v="12"/>
    <x v="12"/>
    <x v="7"/>
    <x v="2"/>
    <s v="4A Engine"/>
    <s v="Mature"/>
    <n v="61"/>
    <n v="6.23"/>
    <n v="235.85"/>
    <s v="No"/>
    <n v="68.959999999999994"/>
    <n v="40.44"/>
    <n v="20"/>
  </r>
  <r>
    <x v="41"/>
    <x v="22"/>
    <s v="Deep Silver"/>
    <x v="12"/>
    <x v="12"/>
    <x v="7"/>
    <x v="4"/>
    <s v="4A Engine"/>
    <s v="Mature"/>
    <n v="78"/>
    <n v="9.1"/>
    <n v="76.25"/>
    <s v="No"/>
    <n v="84.62"/>
    <n v="42.31"/>
    <n v="1"/>
  </r>
  <r>
    <x v="41"/>
    <x v="22"/>
    <s v="Deep Silver"/>
    <x v="12"/>
    <x v="12"/>
    <x v="7"/>
    <x v="7"/>
    <s v="4A Engine"/>
    <s v="Mature"/>
    <n v="69"/>
    <n v="1.06"/>
    <n v="221.93"/>
    <s v="No"/>
    <n v="31.45"/>
    <n v="15.72"/>
    <n v="17"/>
  </r>
  <r>
    <x v="41"/>
    <x v="22"/>
    <s v="Deep Silver"/>
    <x v="12"/>
    <x v="12"/>
    <x v="7"/>
    <x v="5"/>
    <s v="4A Engine"/>
    <s v="Mature"/>
    <n v="87"/>
    <n v="1.63"/>
    <n v="104.31"/>
    <s v="Yes"/>
    <n v="24.31"/>
    <n v="12.15"/>
    <n v="13"/>
  </r>
  <r>
    <x v="42"/>
    <x v="23"/>
    <s v="Xbox Game Studios"/>
    <x v="2"/>
    <x v="2"/>
    <x v="6"/>
    <x v="4"/>
    <s v="Proprietary"/>
    <s v="Mature"/>
    <n v="79"/>
    <n v="2.25"/>
    <n v="111.73"/>
    <s v="Yes"/>
    <n v="51.04"/>
    <n v="25.52"/>
    <n v="11"/>
  </r>
  <r>
    <x v="42"/>
    <x v="23"/>
    <s v="Xbox Game Studios"/>
    <x v="2"/>
    <x v="2"/>
    <x v="6"/>
    <x v="5"/>
    <s v="Proprietary"/>
    <s v="Mature"/>
    <n v="95"/>
    <n v="9.7799999999999994"/>
    <n v="90.31"/>
    <s v="Yes"/>
    <n v="82.64"/>
    <n v="41.32"/>
    <n v="3"/>
  </r>
  <r>
    <x v="43"/>
    <x v="24"/>
    <s v="Capcom"/>
    <x v="2"/>
    <x v="2"/>
    <x v="1"/>
    <x v="1"/>
    <s v="MT Framework"/>
    <s v="Teen"/>
    <n v="65"/>
    <n v="6.66"/>
    <n v="160.78"/>
    <s v="Yes"/>
    <n v="121.44"/>
    <n v="60.72"/>
    <n v="10"/>
  </r>
  <r>
    <x v="43"/>
    <x v="24"/>
    <s v="Capcom"/>
    <x v="2"/>
    <x v="2"/>
    <x v="1"/>
    <x v="4"/>
    <s v="MT Framework"/>
    <s v="Teen"/>
    <n v="67"/>
    <n v="7.89"/>
    <n v="52.1"/>
    <s v="Yes"/>
    <n v="166.81"/>
    <n v="83.41"/>
    <n v="18"/>
  </r>
  <r>
    <x v="43"/>
    <x v="24"/>
    <s v="Capcom"/>
    <x v="2"/>
    <x v="2"/>
    <x v="1"/>
    <x v="5"/>
    <s v="MT Framework"/>
    <s v="Teen"/>
    <n v="90"/>
    <n v="8.7100000000000009"/>
    <n v="82.81"/>
    <s v="Yes"/>
    <n v="33.770000000000003"/>
    <n v="79.3"/>
    <n v="0"/>
  </r>
  <r>
    <x v="44"/>
    <x v="24"/>
    <s v="Capcom"/>
    <x v="14"/>
    <x v="14"/>
    <x v="1"/>
    <x v="0"/>
    <s v="Proprietary"/>
    <s v="Mature"/>
    <n v="97"/>
    <n v="9.84"/>
    <n v="246.89"/>
    <s v="Yes"/>
    <n v="110.34"/>
    <n v="80.56"/>
    <n v="3"/>
  </r>
  <r>
    <x v="44"/>
    <x v="24"/>
    <s v="Capcom"/>
    <x v="14"/>
    <x v="14"/>
    <x v="1"/>
    <x v="3"/>
    <s v="Proprietary"/>
    <s v="Mature"/>
    <n v="87"/>
    <n v="0.36"/>
    <n v="4.7"/>
    <s v="Yes"/>
    <n v="159.05000000000001"/>
    <n v="79.53"/>
    <n v="10"/>
  </r>
  <r>
    <x v="44"/>
    <x v="24"/>
    <s v="Capcom"/>
    <x v="14"/>
    <x v="14"/>
    <x v="1"/>
    <x v="5"/>
    <s v="Proprietary"/>
    <s v="Mature"/>
    <n v="72"/>
    <n v="2.73"/>
    <n v="32.56"/>
    <s v="Yes"/>
    <n v="87.09"/>
    <n v="43.55"/>
    <n v="2"/>
  </r>
  <r>
    <x v="45"/>
    <x v="24"/>
    <s v="Capcom"/>
    <x v="18"/>
    <x v="18"/>
    <x v="1"/>
    <x v="2"/>
    <s v="Capcom Engine"/>
    <s v="Mature"/>
    <n v="74"/>
    <n v="7.8"/>
    <n v="128.80000000000001"/>
    <s v="Yes"/>
    <n v="26.27"/>
    <n v="43.17"/>
    <n v="19"/>
  </r>
  <r>
    <x v="45"/>
    <x v="24"/>
    <s v="Capcom"/>
    <x v="18"/>
    <x v="18"/>
    <x v="1"/>
    <x v="7"/>
    <s v="Capcom Engine"/>
    <s v="Mature"/>
    <n v="83"/>
    <n v="7.85"/>
    <n v="216.88"/>
    <s v="Yes"/>
    <n v="106.68"/>
    <n v="53.34"/>
    <n v="0"/>
  </r>
  <r>
    <x v="45"/>
    <x v="24"/>
    <s v="Capcom"/>
    <x v="18"/>
    <x v="18"/>
    <x v="1"/>
    <x v="5"/>
    <s v="Capcom Engine"/>
    <s v="Mature"/>
    <n v="76"/>
    <n v="8.49"/>
    <n v="107.14"/>
    <s v="Yes"/>
    <n v="26.05"/>
    <n v="62.92"/>
    <n v="14"/>
  </r>
  <r>
    <x v="46"/>
    <x v="25"/>
    <s v="Frontier Developments"/>
    <x v="15"/>
    <x v="15"/>
    <x v="8"/>
    <x v="5"/>
    <s v="COBRA/Custom"/>
    <s v="Teen"/>
    <n v="97"/>
    <n v="0.9"/>
    <n v="152.47"/>
    <s v="Yes"/>
    <n v="17.809999999999999"/>
    <n v="8.9"/>
    <n v="20"/>
  </r>
  <r>
    <x v="46"/>
    <x v="25"/>
    <s v="Frontier Developments"/>
    <x v="15"/>
    <x v="15"/>
    <x v="8"/>
    <x v="1"/>
    <s v="COBRA/Custom"/>
    <s v="Teen"/>
    <n v="86"/>
    <n v="7.15"/>
    <n v="95.85"/>
    <s v="Yes"/>
    <n v="121.49"/>
    <n v="60.74"/>
    <n v="16"/>
  </r>
  <r>
    <x v="46"/>
    <x v="25"/>
    <s v="Frontier Developments"/>
    <x v="15"/>
    <x v="15"/>
    <x v="8"/>
    <x v="4"/>
    <s v="COBRA/Custom"/>
    <s v="Teen"/>
    <n v="76"/>
    <n v="1.08"/>
    <n v="175.74"/>
    <s v="Yes"/>
    <n v="171.29"/>
    <n v="85.64"/>
    <n v="17"/>
  </r>
  <r>
    <x v="21"/>
    <x v="13"/>
    <s v="Hello Games"/>
    <x v="13"/>
    <x v="13"/>
    <x v="3"/>
    <x v="1"/>
    <s v="Custom"/>
    <s v="Everyone"/>
    <n v="74"/>
    <n v="4.57"/>
    <n v="57.89"/>
    <s v="Yes"/>
    <n v="71.09"/>
    <n v="35.549999999999997"/>
    <n v="13"/>
  </r>
  <r>
    <x v="21"/>
    <x v="13"/>
    <s v="Hello Games"/>
    <x v="13"/>
    <x v="13"/>
    <x v="3"/>
    <x v="2"/>
    <s v="Custom"/>
    <s v="Everyone"/>
    <n v="71"/>
    <n v="4.32"/>
    <n v="166.61"/>
    <s v="Yes"/>
    <n v="77.989999999999995"/>
    <n v="38.99"/>
    <n v="15"/>
  </r>
  <r>
    <x v="21"/>
    <x v="13"/>
    <s v="Hello Games"/>
    <x v="13"/>
    <x v="13"/>
    <x v="3"/>
    <x v="4"/>
    <s v="Custom"/>
    <s v="Everyone"/>
    <n v="70"/>
    <n v="8.33"/>
    <n v="24.21"/>
    <s v="Yes"/>
    <n v="23.83"/>
    <n v="63.72"/>
    <n v="4"/>
  </r>
  <r>
    <x v="21"/>
    <x v="13"/>
    <s v="Hello Games"/>
    <x v="13"/>
    <x v="13"/>
    <x v="3"/>
    <x v="5"/>
    <s v="Custom"/>
    <s v="Everyone"/>
    <n v="71"/>
    <n v="5.91"/>
    <n v="140.84"/>
    <s v="Yes"/>
    <n v="69.28"/>
    <n v="34.64"/>
    <n v="11"/>
  </r>
  <r>
    <x v="47"/>
    <x v="26"/>
    <s v="Bandai Namco"/>
    <x v="6"/>
    <x v="6"/>
    <x v="9"/>
    <x v="1"/>
    <s v="FromEngine"/>
    <s v="Mature"/>
    <n v="94"/>
    <n v="152.55000000000001"/>
    <n v="217.15"/>
    <s v="No"/>
    <n v="145.61000000000001"/>
    <n v="1482.11"/>
    <n v="19"/>
  </r>
  <r>
    <x v="47"/>
    <x v="26"/>
    <s v="Bandai Namco"/>
    <x v="6"/>
    <x v="6"/>
    <x v="9"/>
    <x v="2"/>
    <s v="FromEngine"/>
    <s v="Mature"/>
    <n v="86"/>
    <n v="106.41"/>
    <n v="39.53"/>
    <s v="No"/>
    <n v="99.03"/>
    <n v="917.84"/>
    <n v="11"/>
  </r>
  <r>
    <x v="47"/>
    <x v="26"/>
    <s v="Bandai Namco"/>
    <x v="6"/>
    <x v="6"/>
    <x v="9"/>
    <x v="4"/>
    <s v="FromEngine"/>
    <s v="Mature"/>
    <n v="93"/>
    <n v="62.93"/>
    <n v="57.31"/>
    <s v="No"/>
    <n v="88.68"/>
    <n v="380.64"/>
    <n v="19"/>
  </r>
  <r>
    <x v="47"/>
    <x v="26"/>
    <s v="Bandai Namco"/>
    <x v="6"/>
    <x v="6"/>
    <x v="9"/>
    <x v="7"/>
    <s v="FromEngine"/>
    <s v="Mature"/>
    <n v="81"/>
    <n v="14.99"/>
    <n v="232.34"/>
    <s v="No"/>
    <n v="166.74"/>
    <n v="83.37"/>
    <n v="5"/>
  </r>
  <r>
    <x v="47"/>
    <x v="26"/>
    <s v="Bandai Namco"/>
    <x v="6"/>
    <x v="6"/>
    <x v="9"/>
    <x v="5"/>
    <s v="FromEngine"/>
    <s v="Mature"/>
    <n v="70"/>
    <n v="185.09"/>
    <n v="88.4"/>
    <s v="Yes"/>
    <n v="40.369999999999997"/>
    <n v="423.72"/>
    <n v="12"/>
  </r>
  <r>
    <x v="48"/>
    <x v="26"/>
    <s v="Bandai Namco"/>
    <x v="13"/>
    <x v="13"/>
    <x v="9"/>
    <x v="1"/>
    <s v="FromEngine"/>
    <s v="Mature"/>
    <n v="85"/>
    <n v="9.7200000000000006"/>
    <n v="23.85"/>
    <s v="Yes"/>
    <n v="108.44"/>
    <n v="54.22"/>
    <n v="14"/>
  </r>
  <r>
    <x v="48"/>
    <x v="26"/>
    <s v="Bandai Namco"/>
    <x v="13"/>
    <x v="13"/>
    <x v="9"/>
    <x v="4"/>
    <s v="FromEngine"/>
    <s v="Mature"/>
    <n v="71"/>
    <n v="7.24"/>
    <n v="194.43"/>
    <s v="Yes"/>
    <n v="115.68"/>
    <n v="57.84"/>
    <n v="1"/>
  </r>
  <r>
    <x v="48"/>
    <x v="26"/>
    <s v="Bandai Namco"/>
    <x v="13"/>
    <x v="13"/>
    <x v="9"/>
    <x v="5"/>
    <s v="FromEngine"/>
    <s v="Mature"/>
    <n v="86"/>
    <n v="0.59"/>
    <n v="21.31"/>
    <s v="No"/>
    <n v="91.41"/>
    <n v="45.7"/>
    <n v="19"/>
  </r>
  <r>
    <x v="49"/>
    <x v="26"/>
    <s v="Activision"/>
    <x v="12"/>
    <x v="12"/>
    <x v="0"/>
    <x v="1"/>
    <s v="FromEngine"/>
    <s v="Mature"/>
    <n v="73"/>
    <n v="7.57"/>
    <n v="29.34"/>
    <s v="No"/>
    <n v="88.83"/>
    <n v="44.41"/>
    <n v="18"/>
  </r>
  <r>
    <x v="49"/>
    <x v="26"/>
    <s v="Activision"/>
    <x v="12"/>
    <x v="12"/>
    <x v="0"/>
    <x v="4"/>
    <s v="FromEngine"/>
    <s v="Mature"/>
    <n v="72"/>
    <n v="0.55000000000000004"/>
    <n v="99.42"/>
    <s v="No"/>
    <n v="121.87"/>
    <n v="60.94"/>
    <n v="9"/>
  </r>
  <r>
    <x v="49"/>
    <x v="26"/>
    <s v="Activision"/>
    <x v="12"/>
    <x v="12"/>
    <x v="0"/>
    <x v="5"/>
    <s v="FromEngine"/>
    <s v="Mature"/>
    <n v="86"/>
    <n v="2.63"/>
    <n v="82.7"/>
    <s v="No"/>
    <n v="6.51"/>
    <n v="20.309999999999999"/>
    <n v="5"/>
  </r>
  <r>
    <x v="50"/>
    <x v="27"/>
    <s v="Microsoft Studios"/>
    <x v="2"/>
    <x v="2"/>
    <x v="10"/>
    <x v="4"/>
    <s v="ForzaTech"/>
    <s v="E"/>
    <n v="82"/>
    <n v="2.38"/>
    <n v="140.12"/>
    <s v="Yes"/>
    <n v="135.27000000000001"/>
    <n v="67.64"/>
    <n v="12"/>
  </r>
  <r>
    <x v="50"/>
    <x v="27"/>
    <s v="Microsoft Studios"/>
    <x v="2"/>
    <x v="2"/>
    <x v="10"/>
    <x v="5"/>
    <s v="ForzaTech"/>
    <s v="E"/>
    <n v="79"/>
    <n v="0.28999999999999998"/>
    <n v="230.37"/>
    <s v="Yes"/>
    <n v="173.11"/>
    <n v="86.56"/>
    <n v="18"/>
  </r>
  <r>
    <x v="51"/>
    <x v="27"/>
    <s v="Microsoft Studios"/>
    <x v="16"/>
    <x v="16"/>
    <x v="10"/>
    <x v="7"/>
    <s v="ForzaTech"/>
    <s v="E"/>
    <n v="91"/>
    <n v="6.44"/>
    <n v="73.09"/>
    <s v="Yes"/>
    <n v="83.98"/>
    <n v="62.44"/>
    <n v="5"/>
  </r>
  <r>
    <x v="51"/>
    <x v="27"/>
    <s v="Microsoft Studios"/>
    <x v="16"/>
    <x v="16"/>
    <x v="10"/>
    <x v="5"/>
    <s v="ForzaTech"/>
    <s v="E"/>
    <n v="80"/>
    <n v="8.34"/>
    <n v="230.02"/>
    <s v="Yes"/>
    <n v="22.19"/>
    <n v="71.73"/>
    <n v="7"/>
  </r>
  <r>
    <x v="52"/>
    <x v="28"/>
    <s v="Electronic Arts"/>
    <x v="2"/>
    <x v="2"/>
    <x v="10"/>
    <x v="1"/>
    <s v="Burnout Engine"/>
    <s v="E"/>
    <n v="83"/>
    <n v="4.0599999999999996"/>
    <n v="20.58"/>
    <s v="Yes"/>
    <n v="174.75"/>
    <n v="87.38"/>
    <n v="7"/>
  </r>
  <r>
    <x v="52"/>
    <x v="28"/>
    <s v="Electronic Arts"/>
    <x v="2"/>
    <x v="2"/>
    <x v="10"/>
    <x v="4"/>
    <s v="Burnout Engine"/>
    <s v="E"/>
    <n v="89"/>
    <n v="1.76"/>
    <n v="128.11000000000001"/>
    <s v="Yes"/>
    <n v="27.24"/>
    <n v="13.62"/>
    <n v="11"/>
  </r>
  <r>
    <x v="52"/>
    <x v="28"/>
    <s v="Electronic Arts"/>
    <x v="2"/>
    <x v="2"/>
    <x v="10"/>
    <x v="5"/>
    <s v="Burnout Engine"/>
    <s v="E"/>
    <n v="86"/>
    <n v="9.59"/>
    <n v="161.72"/>
    <s v="Yes"/>
    <n v="33.799999999999997"/>
    <n v="18.46"/>
    <n v="8"/>
  </r>
  <r>
    <x v="52"/>
    <x v="28"/>
    <s v="Electronic Arts"/>
    <x v="2"/>
    <x v="2"/>
    <x v="10"/>
    <x v="6"/>
    <s v="Burnout Engine"/>
    <s v="E"/>
    <n v="72"/>
    <n v="6.06"/>
    <n v="190.29"/>
    <s v="Yes"/>
    <n v="132.82"/>
    <n v="66.41"/>
    <n v="20"/>
  </r>
  <r>
    <x v="53"/>
    <x v="29"/>
    <s v="Ubisoft"/>
    <x v="2"/>
    <x v="2"/>
    <x v="10"/>
    <x v="1"/>
    <s v="Dunia"/>
    <s v="E"/>
    <n v="84"/>
    <n v="7.57"/>
    <n v="190.21"/>
    <s v="Yes"/>
    <n v="92.54"/>
    <n v="70.53"/>
    <n v="18"/>
  </r>
  <r>
    <x v="53"/>
    <x v="29"/>
    <s v="Ubisoft"/>
    <x v="2"/>
    <x v="2"/>
    <x v="10"/>
    <x v="4"/>
    <s v="Dunia"/>
    <s v="E"/>
    <n v="81"/>
    <n v="9.8699999999999992"/>
    <n v="81.48"/>
    <s v="Yes"/>
    <n v="194.34"/>
    <n v="97.17"/>
    <n v="14"/>
  </r>
  <r>
    <x v="53"/>
    <x v="29"/>
    <s v="Ubisoft"/>
    <x v="2"/>
    <x v="2"/>
    <x v="10"/>
    <x v="5"/>
    <s v="Dunia"/>
    <s v="E"/>
    <n v="76"/>
    <n v="4.4800000000000004"/>
    <n v="76.400000000000006"/>
    <s v="Yes"/>
    <n v="58.56"/>
    <n v="29.28"/>
    <n v="16"/>
  </r>
  <r>
    <x v="54"/>
    <x v="30"/>
    <s v="Raw Fury"/>
    <x v="16"/>
    <x v="16"/>
    <x v="3"/>
    <x v="5"/>
    <s v="Unity"/>
    <s v="E"/>
    <n v="70"/>
    <n v="4.67"/>
    <n v="10.36"/>
    <s v="Yes"/>
    <n v="76.900000000000006"/>
    <n v="38.450000000000003"/>
    <n v="20"/>
  </r>
  <r>
    <x v="54"/>
    <x v="30"/>
    <s v="Raw Fury"/>
    <x v="16"/>
    <x v="16"/>
    <x v="3"/>
    <x v="1"/>
    <s v="Unity"/>
    <s v="E"/>
    <n v="86"/>
    <n v="5.98"/>
    <n v="96.74"/>
    <s v="Yes"/>
    <n v="118.16"/>
    <n v="59.08"/>
    <n v="1"/>
  </r>
  <r>
    <x v="54"/>
    <x v="30"/>
    <s v="Raw Fury"/>
    <x v="16"/>
    <x v="16"/>
    <x v="3"/>
    <x v="2"/>
    <s v="Unity"/>
    <s v="E"/>
    <n v="89"/>
    <n v="8.1199999999999992"/>
    <n v="163.31"/>
    <s v="Yes"/>
    <n v="67.7"/>
    <n v="42.88"/>
    <n v="4"/>
  </r>
  <r>
    <x v="54"/>
    <x v="30"/>
    <s v="Raw Fury"/>
    <x v="16"/>
    <x v="16"/>
    <x v="3"/>
    <x v="4"/>
    <s v="Unity"/>
    <s v="E"/>
    <n v="84"/>
    <n v="1.1200000000000001"/>
    <n v="224.88"/>
    <s v="Yes"/>
    <n v="71.97"/>
    <n v="35.979999999999997"/>
    <n v="16"/>
  </r>
  <r>
    <x v="54"/>
    <x v="30"/>
    <s v="Raw Fury"/>
    <x v="16"/>
    <x v="16"/>
    <x v="3"/>
    <x v="6"/>
    <s v="Unity"/>
    <s v="E"/>
    <n v="67"/>
    <n v="0.49"/>
    <n v="177.2"/>
    <s v="Yes"/>
    <n v="198.24"/>
    <n v="99.12"/>
    <n v="19"/>
  </r>
  <r>
    <x v="55"/>
    <x v="31"/>
    <s v="Annapurna Interactive"/>
    <x v="12"/>
    <x v="12"/>
    <x v="3"/>
    <x v="1"/>
    <s v="Custom"/>
    <s v="E"/>
    <n v="71"/>
    <n v="3.79"/>
    <n v="71.44"/>
    <s v="Yes"/>
    <n v="84.71"/>
    <n v="42.35"/>
    <n v="19"/>
  </r>
  <r>
    <x v="55"/>
    <x v="31"/>
    <s v="Annapurna Interactive"/>
    <x v="12"/>
    <x v="12"/>
    <x v="3"/>
    <x v="4"/>
    <s v="Custom"/>
    <s v="E"/>
    <n v="89"/>
    <n v="6.35"/>
    <n v="84.33"/>
    <s v="Yes"/>
    <n v="69.290000000000006"/>
    <n v="38.24"/>
    <n v="12"/>
  </r>
  <r>
    <x v="55"/>
    <x v="31"/>
    <s v="Annapurna Interactive"/>
    <x v="12"/>
    <x v="12"/>
    <x v="3"/>
    <x v="5"/>
    <s v="Custom"/>
    <s v="E"/>
    <n v="69"/>
    <n v="7.26"/>
    <n v="164.48"/>
    <s v="Yes"/>
    <n v="181.74"/>
    <n v="90.87"/>
    <n v="10"/>
  </r>
  <r>
    <x v="55"/>
    <x v="31"/>
    <s v="Annapurna Interactive"/>
    <x v="12"/>
    <x v="12"/>
    <x v="3"/>
    <x v="6"/>
    <s v="Custom"/>
    <s v="E"/>
    <n v="80"/>
    <n v="6.67"/>
    <n v="229.27"/>
    <s v="Yes"/>
    <n v="65.5"/>
    <n v="46.05"/>
    <n v="12"/>
  </r>
  <r>
    <x v="56"/>
    <x v="8"/>
    <s v="Nintendo"/>
    <x v="5"/>
    <x v="5"/>
    <x v="0"/>
    <x v="6"/>
    <s v="Havok/Custom"/>
    <s v="E10+"/>
    <n v="81"/>
    <n v="7.12"/>
    <n v="22.1"/>
    <s v="No"/>
    <n v="113.99"/>
    <n v="56.99"/>
    <n v="10"/>
  </r>
  <r>
    <x v="56"/>
    <x v="8"/>
    <s v="Nintendo"/>
    <x v="5"/>
    <x v="5"/>
    <x v="0"/>
    <x v="8"/>
    <s v="Havok/Custom"/>
    <s v="E10+"/>
    <n v="94"/>
    <n v="9.48"/>
    <n v="249.29"/>
    <s v="No"/>
    <n v="182.93"/>
    <n v="91.47"/>
    <n v="13"/>
  </r>
  <r>
    <x v="57"/>
    <x v="8"/>
    <s v="Nintendo"/>
    <x v="9"/>
    <x v="9"/>
    <x v="0"/>
    <x v="6"/>
    <s v="Havok/Custom"/>
    <s v="E10+"/>
    <n v="74"/>
    <n v="3.16"/>
    <n v="237.84"/>
    <s v="No"/>
    <n v="71.64"/>
    <n v="35.82"/>
    <n v="6"/>
  </r>
  <r>
    <x v="58"/>
    <x v="32"/>
    <s v="Deep Silver"/>
    <x v="2"/>
    <x v="2"/>
    <x v="1"/>
    <x v="1"/>
    <s v="CryEngine"/>
    <s v="Mature"/>
    <n v="64"/>
    <n v="0.86"/>
    <n v="211.26"/>
    <s v="Yes"/>
    <n v="24.72"/>
    <n v="12.36"/>
    <n v="16"/>
  </r>
  <r>
    <x v="58"/>
    <x v="32"/>
    <s v="Deep Silver"/>
    <x v="2"/>
    <x v="2"/>
    <x v="1"/>
    <x v="4"/>
    <s v="CryEngine"/>
    <s v="Mature"/>
    <n v="83"/>
    <n v="3.43"/>
    <n v="191.81"/>
    <s v="Yes"/>
    <n v="30.55"/>
    <n v="15.28"/>
    <n v="5"/>
  </r>
  <r>
    <x v="58"/>
    <x v="32"/>
    <s v="Deep Silver"/>
    <x v="2"/>
    <x v="2"/>
    <x v="1"/>
    <x v="5"/>
    <s v="CryEngine"/>
    <s v="Mature"/>
    <n v="92"/>
    <n v="6.96"/>
    <n v="156.56"/>
    <s v="Yes"/>
    <n v="181.02"/>
    <n v="90.51"/>
    <n v="1"/>
  </r>
  <r>
    <x v="59"/>
    <x v="33"/>
    <s v="Electronic Arts"/>
    <x v="14"/>
    <x v="14"/>
    <x v="1"/>
    <x v="0"/>
    <s v="Proprietary"/>
    <s v="Teen"/>
    <n v="74"/>
    <n v="6.8"/>
    <n v="60.15"/>
    <s v="Yes"/>
    <n v="91.62"/>
    <n v="45.81"/>
    <n v="14"/>
  </r>
  <r>
    <x v="59"/>
    <x v="33"/>
    <s v="Electronic Arts"/>
    <x v="14"/>
    <x v="14"/>
    <x v="1"/>
    <x v="3"/>
    <s v="Proprietary"/>
    <s v="Teen"/>
    <n v="82"/>
    <n v="2.4700000000000002"/>
    <n v="241.43"/>
    <s v="Yes"/>
    <n v="157.94999999999999"/>
    <n v="78.97"/>
    <n v="6"/>
  </r>
  <r>
    <x v="59"/>
    <x v="33"/>
    <s v="Electronic Arts"/>
    <x v="14"/>
    <x v="14"/>
    <x v="1"/>
    <x v="5"/>
    <s v="Proprietary"/>
    <s v="Teen"/>
    <n v="89"/>
    <n v="9.48"/>
    <n v="246.13"/>
    <s v="Yes"/>
    <n v="95.03"/>
    <n v="47.52"/>
    <n v="12"/>
  </r>
  <r>
    <x v="60"/>
    <x v="34"/>
    <s v="Focus Home Interactive"/>
    <x v="12"/>
    <x v="12"/>
    <x v="1"/>
    <x v="1"/>
    <s v="Silk Engine"/>
    <s v="Mature"/>
    <n v="76"/>
    <n v="4.24"/>
    <n v="41.35"/>
    <s v="Yes"/>
    <n v="43.94"/>
    <n v="27.31"/>
    <n v="8"/>
  </r>
  <r>
    <x v="60"/>
    <x v="34"/>
    <s v="Focus Home Interactive"/>
    <x v="12"/>
    <x v="12"/>
    <x v="1"/>
    <x v="4"/>
    <s v="Silk Engine"/>
    <s v="Mature"/>
    <n v="81"/>
    <n v="4.8600000000000003"/>
    <n v="93.43"/>
    <s v="Yes"/>
    <n v="187.19"/>
    <n v="93.59"/>
    <n v="16"/>
  </r>
  <r>
    <x v="60"/>
    <x v="34"/>
    <s v="Focus Home Interactive"/>
    <x v="12"/>
    <x v="12"/>
    <x v="1"/>
    <x v="5"/>
    <s v="Silk Engine"/>
    <s v="Mature"/>
    <n v="70"/>
    <n v="0.93"/>
    <n v="40.92"/>
    <s v="Yes"/>
    <n v="92.62"/>
    <n v="46.31"/>
    <n v="13"/>
  </r>
  <r>
    <x v="61"/>
    <x v="35"/>
    <s v="THQ Nordic"/>
    <x v="16"/>
    <x v="16"/>
    <x v="1"/>
    <x v="1"/>
    <s v="Unreal Engine"/>
    <s v="Teen"/>
    <n v="90"/>
    <n v="9.11"/>
    <n v="204.36"/>
    <s v="Yes"/>
    <n v="177.5"/>
    <n v="88.75"/>
    <n v="13"/>
  </r>
  <r>
    <x v="61"/>
    <x v="35"/>
    <s v="THQ Nordic"/>
    <x v="16"/>
    <x v="16"/>
    <x v="1"/>
    <x v="2"/>
    <s v="Unreal Engine"/>
    <s v="Teen"/>
    <n v="77"/>
    <n v="5.07"/>
    <n v="59.71"/>
    <s v="Yes"/>
    <n v="198.93"/>
    <n v="99.47"/>
    <n v="0"/>
  </r>
  <r>
    <x v="61"/>
    <x v="35"/>
    <s v="THQ Nordic"/>
    <x v="16"/>
    <x v="16"/>
    <x v="1"/>
    <x v="4"/>
    <s v="Unreal Engine"/>
    <s v="Teen"/>
    <n v="93"/>
    <n v="1.08"/>
    <n v="178.96"/>
    <s v="Yes"/>
    <n v="70.38"/>
    <n v="35.19"/>
    <n v="1"/>
  </r>
  <r>
    <x v="61"/>
    <x v="35"/>
    <s v="THQ Nordic"/>
    <x v="16"/>
    <x v="16"/>
    <x v="1"/>
    <x v="7"/>
    <s v="Unreal Engine"/>
    <s v="Teen"/>
    <n v="98"/>
    <n v="8.31"/>
    <n v="174.32"/>
    <s v="Yes"/>
    <n v="32.06"/>
    <n v="61.08"/>
    <n v="14"/>
  </r>
  <r>
    <x v="61"/>
    <x v="35"/>
    <s v="THQ Nordic"/>
    <x v="16"/>
    <x v="16"/>
    <x v="1"/>
    <x v="5"/>
    <s v="Unreal Engine"/>
    <s v="Teen"/>
    <n v="68"/>
    <n v="9.07"/>
    <n v="5.73"/>
    <s v="Yes"/>
    <n v="47.05"/>
    <n v="23.52"/>
    <n v="19"/>
  </r>
  <r>
    <x v="62"/>
    <x v="36"/>
    <s v="Pocketpair"/>
    <x v="18"/>
    <x v="18"/>
    <x v="6"/>
    <x v="5"/>
    <s v="Custom"/>
    <s v="Teen"/>
    <n v="83"/>
    <n v="1.2"/>
    <n v="72.739999999999995"/>
    <s v="Yes"/>
    <n v="63.72"/>
    <n v="31.86"/>
    <n v="13"/>
  </r>
  <r>
    <x v="62"/>
    <x v="36"/>
    <s v="Pocketpair"/>
    <x v="18"/>
    <x v="18"/>
    <x v="6"/>
    <x v="7"/>
    <s v="Custom"/>
    <s v="Teen"/>
    <n v="85"/>
    <n v="6.27"/>
    <n v="16.64"/>
    <s v="Yes"/>
    <n v="168.15"/>
    <n v="84.08"/>
    <n v="17"/>
  </r>
  <r>
    <x v="63"/>
    <x v="37"/>
    <s v="Microsoft Studios"/>
    <x v="2"/>
    <x v="2"/>
    <x v="11"/>
    <x v="4"/>
    <s v="Unreal Engine"/>
    <s v="Teen"/>
    <n v="85"/>
    <n v="5.2"/>
    <n v="61.24"/>
    <s v="Yes"/>
    <n v="33"/>
    <n v="25.29"/>
    <n v="19"/>
  </r>
  <r>
    <x v="63"/>
    <x v="37"/>
    <s v="Microsoft Studios"/>
    <x v="2"/>
    <x v="2"/>
    <x v="11"/>
    <x v="5"/>
    <s v="Unreal Engine"/>
    <s v="Teen"/>
    <n v="68"/>
    <n v="5.75"/>
    <n v="47.64"/>
    <s v="Yes"/>
    <n v="135.30000000000001"/>
    <n v="67.650000000000006"/>
    <n v="11"/>
  </r>
  <r>
    <x v="64"/>
    <x v="6"/>
    <s v="Bethesda Softworks"/>
    <x v="7"/>
    <x v="7"/>
    <x v="1"/>
    <x v="12"/>
    <s v="Creation Engine"/>
    <s v="Teen"/>
    <n v="97"/>
    <n v="5.31"/>
    <n v="127.32"/>
    <s v="Yes"/>
    <n v="197.72"/>
    <n v="98.86"/>
    <n v="12"/>
  </r>
  <r>
    <x v="65"/>
    <x v="6"/>
    <s v="Bethesda Softworks"/>
    <x v="1"/>
    <x v="1"/>
    <x v="1"/>
    <x v="0"/>
    <s v="Gamebryo/Creation"/>
    <s v="Mature"/>
    <n v="66"/>
    <n v="6.39"/>
    <n v="245.28"/>
    <s v="Yes"/>
    <n v="54.46"/>
    <n v="27.23"/>
    <n v="2"/>
  </r>
  <r>
    <x v="65"/>
    <x v="6"/>
    <s v="Bethesda Softworks"/>
    <x v="1"/>
    <x v="1"/>
    <x v="1"/>
    <x v="3"/>
    <s v="Gamebryo/Creation"/>
    <s v="Mature"/>
    <n v="69"/>
    <n v="7.36"/>
    <n v="157.44"/>
    <s v="Yes"/>
    <n v="155.44"/>
    <n v="77.72"/>
    <n v="10"/>
  </r>
  <r>
    <x v="65"/>
    <x v="6"/>
    <s v="Bethesda Softworks"/>
    <x v="1"/>
    <x v="1"/>
    <x v="1"/>
    <x v="5"/>
    <s v="Gamebryo/Creation"/>
    <s v="Mature"/>
    <n v="68"/>
    <n v="3.59"/>
    <n v="85.3"/>
    <s v="Yes"/>
    <n v="130.35"/>
    <n v="65.17"/>
    <n v="14"/>
  </r>
  <r>
    <x v="66"/>
    <x v="38"/>
    <s v="Rockstar Games"/>
    <x v="8"/>
    <x v="8"/>
    <x v="0"/>
    <x v="0"/>
    <s v="RAGE"/>
    <s v="Mature"/>
    <n v="84"/>
    <n v="1.9"/>
    <n v="34.58"/>
    <s v="Yes"/>
    <n v="144.63"/>
    <n v="72.31"/>
    <n v="1"/>
  </r>
  <r>
    <x v="66"/>
    <x v="38"/>
    <s v="Rockstar Games"/>
    <x v="8"/>
    <x v="8"/>
    <x v="0"/>
    <x v="3"/>
    <s v="RAGE"/>
    <s v="Mature"/>
    <n v="92"/>
    <n v="2.0699999999999998"/>
    <n v="11.43"/>
    <s v="Yes"/>
    <n v="187.01"/>
    <n v="93.5"/>
    <n v="17"/>
  </r>
  <r>
    <x v="54"/>
    <x v="30"/>
    <s v="Raw Fury"/>
    <x v="16"/>
    <x v="16"/>
    <x v="3"/>
    <x v="1"/>
    <s v="Unity"/>
    <s v="E"/>
    <n v="88"/>
    <n v="5.72"/>
    <n v="96.74"/>
    <s v="Yes"/>
    <n v="118.16"/>
    <n v="59.5"/>
    <n v="0"/>
  </r>
  <r>
    <x v="64"/>
    <x v="6"/>
    <s v="Bethesda Softworks"/>
    <x v="7"/>
    <x v="7"/>
    <x v="1"/>
    <x v="12"/>
    <s v="Creation Engine"/>
    <s v="Teen"/>
    <n v="99"/>
    <n v="5.31"/>
    <n v="127.32"/>
    <s v="Yes"/>
    <n v="197.72"/>
    <n v="92.67"/>
    <n v="12"/>
  </r>
  <r>
    <x v="31"/>
    <x v="16"/>
    <s v="THQ"/>
    <x v="7"/>
    <x v="7"/>
    <x v="0"/>
    <x v="0"/>
    <s v="Proprietary"/>
    <s v="Mature"/>
    <n v="92"/>
    <n v="7.59"/>
    <n v="68.11"/>
    <s v="No"/>
    <n v="12.85"/>
    <n v="61.66"/>
    <n v="15"/>
  </r>
  <r>
    <x v="24"/>
    <x v="14"/>
    <s v="Ubisoft"/>
    <x v="4"/>
    <x v="4"/>
    <x v="0"/>
    <x v="4"/>
    <s v="Disrupt"/>
    <s v="Mature"/>
    <n v="85"/>
    <n v="6.62"/>
    <n v="26.37"/>
    <s v="No"/>
    <n v="155.63"/>
    <n v="81.64"/>
    <n v="20"/>
  </r>
  <r>
    <x v="20"/>
    <x v="12"/>
    <s v="Mojang (Microsoft)"/>
    <x v="7"/>
    <x v="7"/>
    <x v="2"/>
    <x v="1"/>
    <s v="Custom"/>
    <s v="Everyone"/>
    <n v="86"/>
    <n v="126.55"/>
    <n v="246.99"/>
    <s v="Yes"/>
    <n v="121.11"/>
    <n v="1342.61"/>
    <n v="14"/>
  </r>
  <r>
    <x v="43"/>
    <x v="24"/>
    <s v="Capcom"/>
    <x v="2"/>
    <x v="2"/>
    <x v="1"/>
    <x v="4"/>
    <s v="MT Framework"/>
    <s v="Teen"/>
    <n v="70"/>
    <n v="7.53"/>
    <n v="52.1"/>
    <s v="Yes"/>
    <n v="166.81"/>
    <n v="82.42"/>
    <n v="17"/>
  </r>
  <r>
    <x v="4"/>
    <x v="2"/>
    <s v="CD Projekt"/>
    <x v="4"/>
    <x v="4"/>
    <x v="1"/>
    <x v="4"/>
    <s v="REDengine"/>
    <s v="Mature"/>
    <n v="68"/>
    <n v="2.72"/>
    <n v="142.27000000000001"/>
    <s v="Yes"/>
    <n v="20.36"/>
    <n v="18.670000000000002"/>
    <n v="3"/>
  </r>
  <r>
    <x v="51"/>
    <x v="27"/>
    <s v="Microsoft Studios"/>
    <x v="16"/>
    <x v="16"/>
    <x v="10"/>
    <x v="5"/>
    <s v="ForzaTech"/>
    <s v="E"/>
    <n v="80"/>
    <n v="7.92"/>
    <n v="230.02"/>
    <s v="Yes"/>
    <n v="22.19"/>
    <n v="74.11"/>
    <n v="7"/>
  </r>
  <r>
    <x v="2"/>
    <x v="1"/>
    <s v="Rockstar Games"/>
    <x v="2"/>
    <x v="2"/>
    <x v="0"/>
    <x v="2"/>
    <s v="RAGE"/>
    <s v="Mature"/>
    <n v="71"/>
    <n v="58.16"/>
    <n v="235.78"/>
    <s v="No"/>
    <n v="175.89"/>
    <n v="193.06"/>
    <n v="20"/>
  </r>
  <r>
    <x v="20"/>
    <x v="12"/>
    <s v="Mojang (Microsoft)"/>
    <x v="7"/>
    <x v="7"/>
    <x v="2"/>
    <x v="6"/>
    <s v="Custom"/>
    <s v="Everyone"/>
    <n v="83"/>
    <n v="70.739999999999995"/>
    <n v="62.56"/>
    <s v="Yes"/>
    <n v="129.34"/>
    <n v="553.84"/>
    <n v="15"/>
  </r>
  <r>
    <x v="47"/>
    <x v="26"/>
    <s v="Bandai Namco"/>
    <x v="6"/>
    <x v="6"/>
    <x v="9"/>
    <x v="4"/>
    <s v="FromEngine"/>
    <s v="Mature"/>
    <n v="95"/>
    <n v="64.31"/>
    <n v="57.31"/>
    <s v="No"/>
    <n v="88.68"/>
    <n v="401.17"/>
    <n v="20"/>
  </r>
  <r>
    <x v="47"/>
    <x v="26"/>
    <s v="Bandai Namco"/>
    <x v="6"/>
    <x v="6"/>
    <x v="9"/>
    <x v="5"/>
    <s v="FromEngine"/>
    <s v="Mature"/>
    <n v="68"/>
    <n v="219.49"/>
    <n v="88.4"/>
    <s v="Yes"/>
    <n v="40.369999999999997"/>
    <n v="399.5"/>
    <n v="13"/>
  </r>
  <r>
    <x v="47"/>
    <x v="26"/>
    <s v="Bandai Namco"/>
    <x v="6"/>
    <x v="6"/>
    <x v="9"/>
    <x v="5"/>
    <s v="FromEngine"/>
    <s v="Mature"/>
    <n v="73"/>
    <n v="190.91"/>
    <n v="88.4"/>
    <s v="Yes"/>
    <n v="40.369999999999997"/>
    <n v="397.39"/>
    <n v="11"/>
  </r>
  <r>
    <x v="55"/>
    <x v="31"/>
    <s v="Annapurna Interactive"/>
    <x v="12"/>
    <x v="12"/>
    <x v="3"/>
    <x v="6"/>
    <s v="Custom"/>
    <s v="E"/>
    <n v="82"/>
    <n v="6.74"/>
    <n v="229.27"/>
    <s v="Yes"/>
    <n v="65.5"/>
    <n v="46.73"/>
    <n v="13"/>
  </r>
  <r>
    <x v="1"/>
    <x v="0"/>
    <s v="Rockstar Games"/>
    <x v="1"/>
    <x v="1"/>
    <x v="0"/>
    <x v="5"/>
    <s v="RAGE"/>
    <s v="Mature"/>
    <n v="90"/>
    <n v="6.05"/>
    <n v="134"/>
    <s v="No"/>
    <n v="52.74"/>
    <n v="34.119999999999997"/>
    <n v="8"/>
  </r>
  <r>
    <x v="26"/>
    <x v="3"/>
    <s v="Ubisoft"/>
    <x v="15"/>
    <x v="15"/>
    <x v="4"/>
    <x v="4"/>
    <s v="Dunia"/>
    <s v="Mature"/>
    <n v="76"/>
    <n v="22.56"/>
    <n v="133.19999999999999"/>
    <s v="No"/>
    <n v="87.97"/>
    <n v="165.23"/>
    <n v="11"/>
  </r>
  <r>
    <x v="26"/>
    <x v="3"/>
    <s v="Ubisoft"/>
    <x v="15"/>
    <x v="15"/>
    <x v="4"/>
    <x v="1"/>
    <s v="Dunia"/>
    <s v="Mature"/>
    <n v="97"/>
    <n v="9.2100000000000009"/>
    <n v="61.1"/>
    <s v="No"/>
    <n v="84.25"/>
    <n v="54.62"/>
    <n v="6"/>
  </r>
  <r>
    <x v="1"/>
    <x v="0"/>
    <s v="Rockstar Games"/>
    <x v="1"/>
    <x v="1"/>
    <x v="0"/>
    <x v="0"/>
    <s v="RAGE"/>
    <s v="Mature"/>
    <n v="65"/>
    <n v="0.53"/>
    <n v="57.75"/>
    <s v="No"/>
    <n v="61.43"/>
    <n v="32.409999999999997"/>
    <n v="8"/>
  </r>
  <r>
    <x v="6"/>
    <x v="4"/>
    <s v="Ubisoft"/>
    <x v="2"/>
    <x v="2"/>
    <x v="1"/>
    <x v="5"/>
    <s v="AnvilNext"/>
    <s v="Mature"/>
    <n v="71"/>
    <n v="20.420000000000002"/>
    <n v="70.36"/>
    <s v="Yes"/>
    <n v="53.71"/>
    <n v="186.52"/>
    <n v="13"/>
  </r>
  <r>
    <x v="44"/>
    <x v="24"/>
    <s v="Capcom"/>
    <x v="14"/>
    <x v="14"/>
    <x v="1"/>
    <x v="0"/>
    <s v="Proprietary"/>
    <s v="Mature"/>
    <n v="96"/>
    <n v="10.9"/>
    <n v="246.89"/>
    <s v="Yes"/>
    <n v="110.34"/>
    <n v="96.64"/>
    <n v="2"/>
  </r>
  <r>
    <x v="7"/>
    <x v="3"/>
    <s v="Ubisoft"/>
    <x v="5"/>
    <x v="5"/>
    <x v="1"/>
    <x v="1"/>
    <s v="AnvilNext"/>
    <s v="Mature"/>
    <n v="63"/>
    <n v="4.53"/>
    <n v="249.82"/>
    <s v="Yes"/>
    <n v="168.03"/>
    <n v="87.01"/>
    <n v="8"/>
  </r>
  <r>
    <x v="31"/>
    <x v="16"/>
    <s v="THQ"/>
    <x v="7"/>
    <x v="7"/>
    <x v="0"/>
    <x v="5"/>
    <s v="Proprietary"/>
    <s v="Mature"/>
    <n v="71"/>
    <n v="3.75"/>
    <n v="27.05"/>
    <s v="No"/>
    <n v="36.36"/>
    <n v="21.64"/>
    <n v="15"/>
  </r>
  <r>
    <x v="47"/>
    <x v="26"/>
    <s v="Bandai Namco"/>
    <x v="6"/>
    <x v="6"/>
    <x v="9"/>
    <x v="2"/>
    <s v="FromEngine"/>
    <s v="Mature"/>
    <n v="85"/>
    <n v="118.42"/>
    <n v="39.53"/>
    <s v="No"/>
    <n v="99.03"/>
    <n v="977.5"/>
    <n v="11"/>
  </r>
  <r>
    <x v="64"/>
    <x v="6"/>
    <s v="Bethesda Softworks"/>
    <x v="7"/>
    <x v="7"/>
    <x v="1"/>
    <x v="12"/>
    <s v="Creation Engine"/>
    <s v="Teen"/>
    <n v="98"/>
    <n v="6.14"/>
    <n v="127.32"/>
    <s v="Yes"/>
    <n v="197.72"/>
    <n v="103.19"/>
    <n v="13"/>
  </r>
  <r>
    <x v="46"/>
    <x v="25"/>
    <s v="Frontier Developments"/>
    <x v="15"/>
    <x v="15"/>
    <x v="8"/>
    <x v="1"/>
    <s v="COBRA/Custom"/>
    <s v="Teen"/>
    <n v="84"/>
    <n v="8.14"/>
    <n v="95.85"/>
    <s v="Yes"/>
    <n v="121.49"/>
    <n v="63.94"/>
    <n v="15"/>
  </r>
  <r>
    <x v="13"/>
    <x v="8"/>
    <s v="Nintendo"/>
    <x v="5"/>
    <x v="5"/>
    <x v="0"/>
    <x v="6"/>
    <s v="Havok/Custom"/>
    <s v="E10+"/>
    <n v="92"/>
    <n v="8.77"/>
    <n v="216.29"/>
    <s v="Yes"/>
    <n v="195.36"/>
    <n v="111.07"/>
    <n v="12"/>
  </r>
  <r>
    <x v="26"/>
    <x v="3"/>
    <s v="Ubisoft"/>
    <x v="15"/>
    <x v="15"/>
    <x v="4"/>
    <x v="0"/>
    <s v="Dunia"/>
    <s v="Mature"/>
    <n v="80"/>
    <n v="34.64"/>
    <n v="85.74"/>
    <s v="Yes"/>
    <n v="176.66"/>
    <n v="245.78"/>
    <n v="9"/>
  </r>
  <r>
    <x v="7"/>
    <x v="3"/>
    <s v="Ubisoft"/>
    <x v="5"/>
    <x v="5"/>
    <x v="1"/>
    <x v="5"/>
    <s v="AnvilNext"/>
    <s v="Mature"/>
    <n v="83"/>
    <n v="14.08"/>
    <n v="196.23"/>
    <s v="Yes"/>
    <n v="93.73"/>
    <n v="53.41"/>
    <n v="17"/>
  </r>
  <r>
    <x v="51"/>
    <x v="27"/>
    <s v="Microsoft Studios"/>
    <x v="16"/>
    <x v="16"/>
    <x v="10"/>
    <x v="5"/>
    <s v="ForzaTech"/>
    <s v="E"/>
    <n v="82"/>
    <n v="8.6999999999999993"/>
    <n v="230.02"/>
    <s v="Yes"/>
    <n v="22.19"/>
    <n v="73.400000000000006"/>
    <n v="7"/>
  </r>
  <r>
    <x v="9"/>
    <x v="5"/>
    <s v="Sony Interactive Entertainment"/>
    <x v="6"/>
    <x v="6"/>
    <x v="1"/>
    <x v="2"/>
    <s v="Decima"/>
    <s v="Teen"/>
    <n v="67"/>
    <n v="11.23"/>
    <n v="142.85"/>
    <s v="Yes"/>
    <n v="117.89"/>
    <n v="64.41"/>
    <n v="2"/>
  </r>
  <r>
    <x v="47"/>
    <x v="26"/>
    <s v="Bandai Namco"/>
    <x v="6"/>
    <x v="6"/>
    <x v="9"/>
    <x v="5"/>
    <s v="FromEngine"/>
    <s v="Mature"/>
    <n v="70"/>
    <n v="231.61"/>
    <n v="88.4"/>
    <s v="Yes"/>
    <n v="40.369999999999997"/>
    <n v="374.93"/>
    <n v="14"/>
  </r>
  <r>
    <x v="26"/>
    <x v="3"/>
    <s v="Ubisoft"/>
    <x v="15"/>
    <x v="15"/>
    <x v="4"/>
    <x v="1"/>
    <s v="Dunia"/>
    <s v="Mature"/>
    <n v="100"/>
    <n v="11.02"/>
    <n v="61.1"/>
    <s v="No"/>
    <n v="84.25"/>
    <n v="57.18"/>
    <n v="6"/>
  </r>
  <r>
    <x v="18"/>
    <x v="10"/>
    <s v="Sony Interactive Entertainment"/>
    <x v="12"/>
    <x v="12"/>
    <x v="0"/>
    <x v="1"/>
    <s v="Proprietary"/>
    <s v="Mature"/>
    <n v="100"/>
    <n v="7.55"/>
    <n v="43.25"/>
    <s v="Yes"/>
    <n v="21.54"/>
    <n v="42.72"/>
    <n v="20"/>
  </r>
  <r>
    <x v="32"/>
    <x v="17"/>
    <s v="2K Games"/>
    <x v="13"/>
    <x v="13"/>
    <x v="0"/>
    <x v="4"/>
    <s v="Proprietary"/>
    <s v="Mature"/>
    <n v="77"/>
    <n v="10.26"/>
    <n v="206.41"/>
    <s v="Yes"/>
    <n v="5.22"/>
    <n v="80.67"/>
    <n v="14"/>
  </r>
  <r>
    <x v="10"/>
    <x v="6"/>
    <s v="Bethesda Softworks"/>
    <x v="7"/>
    <x v="7"/>
    <x v="1"/>
    <x v="2"/>
    <s v="Creation Engine"/>
    <s v="Teen"/>
    <n v="77"/>
    <n v="5.99"/>
    <n v="141.19"/>
    <s v="Yes"/>
    <n v="24.5"/>
    <n v="43.31"/>
    <n v="16"/>
  </r>
  <r>
    <x v="18"/>
    <x v="10"/>
    <s v="Sony Interactive Entertainment"/>
    <x v="12"/>
    <x v="12"/>
    <x v="0"/>
    <x v="5"/>
    <s v="Proprietary"/>
    <s v="Mature"/>
    <n v="88"/>
    <n v="9.43"/>
    <n v="59.48"/>
    <s v="Yes"/>
    <n v="65.53"/>
    <n v="83.35"/>
    <n v="5"/>
  </r>
  <r>
    <x v="24"/>
    <x v="14"/>
    <s v="Ubisoft"/>
    <x v="4"/>
    <x v="4"/>
    <x v="0"/>
    <x v="4"/>
    <s v="Disrupt"/>
    <s v="Mature"/>
    <n v="88"/>
    <n v="7.46"/>
    <n v="26.37"/>
    <s v="No"/>
    <n v="155.63"/>
    <n v="73.63"/>
    <n v="20"/>
  </r>
  <r>
    <x v="47"/>
    <x v="26"/>
    <s v="Bandai Namco"/>
    <x v="6"/>
    <x v="6"/>
    <x v="9"/>
    <x v="7"/>
    <s v="FromEngine"/>
    <s v="Mature"/>
    <n v="84"/>
    <n v="17.649999999999999"/>
    <n v="232.34"/>
    <s v="No"/>
    <n v="166.74"/>
    <n v="76.06"/>
    <n v="4"/>
  </r>
  <r>
    <x v="10"/>
    <x v="6"/>
    <s v="Bethesda Softworks"/>
    <x v="7"/>
    <x v="7"/>
    <x v="1"/>
    <x v="3"/>
    <s v="Creation Engine"/>
    <s v="Teen"/>
    <n v="68"/>
    <n v="11.06"/>
    <n v="220.34"/>
    <s v="Yes"/>
    <n v="176.46"/>
    <n v="99.82"/>
    <n v="5"/>
  </r>
  <r>
    <x v="29"/>
    <x v="15"/>
    <s v="Square Enix"/>
    <x v="3"/>
    <x v="3"/>
    <x v="0"/>
    <x v="5"/>
    <s v="Avalanche Engine"/>
    <s v="Mature"/>
    <n v="90"/>
    <n v="10.01"/>
    <n v="106.86"/>
    <s v="Yes"/>
    <n v="111.19"/>
    <n v="69.23"/>
    <n v="7"/>
  </r>
  <r>
    <x v="7"/>
    <x v="3"/>
    <s v="Ubisoft"/>
    <x v="5"/>
    <x v="5"/>
    <x v="1"/>
    <x v="5"/>
    <s v="AnvilNext"/>
    <s v="Mature"/>
    <n v="85"/>
    <n v="14.98"/>
    <n v="196.23"/>
    <s v="Yes"/>
    <n v="93.73"/>
    <n v="58.35"/>
    <n v="17"/>
  </r>
  <r>
    <x v="7"/>
    <x v="3"/>
    <s v="Ubisoft"/>
    <x v="5"/>
    <x v="5"/>
    <x v="1"/>
    <x v="1"/>
    <s v="AnvilNext"/>
    <s v="Mature"/>
    <n v="61"/>
    <n v="5.17"/>
    <n v="249.82"/>
    <s v="Yes"/>
    <n v="168.03"/>
    <n v="96.19"/>
    <n v="8"/>
  </r>
  <r>
    <x v="43"/>
    <x v="24"/>
    <s v="Capcom"/>
    <x v="2"/>
    <x v="2"/>
    <x v="1"/>
    <x v="4"/>
    <s v="MT Framework"/>
    <s v="Teen"/>
    <n v="67"/>
    <n v="8.33"/>
    <n v="52.1"/>
    <s v="Yes"/>
    <n v="166.81"/>
    <n v="78.09"/>
    <n v="17"/>
  </r>
  <r>
    <x v="7"/>
    <x v="3"/>
    <s v="Ubisoft"/>
    <x v="5"/>
    <x v="5"/>
    <x v="1"/>
    <x v="1"/>
    <s v="AnvilNext"/>
    <s v="Mature"/>
    <n v="63"/>
    <n v="4.3499999999999996"/>
    <n v="249.82"/>
    <s v="Yes"/>
    <n v="168.03"/>
    <n v="94.14"/>
    <n v="8"/>
  </r>
  <r>
    <x v="46"/>
    <x v="25"/>
    <s v="Frontier Developments"/>
    <x v="15"/>
    <x v="15"/>
    <x v="8"/>
    <x v="1"/>
    <s v="COBRA/Custom"/>
    <s v="Teen"/>
    <n v="88"/>
    <n v="8.5500000000000007"/>
    <n v="95.85"/>
    <s v="Yes"/>
    <n v="121.49"/>
    <n v="60.96"/>
    <n v="16"/>
  </r>
  <r>
    <x v="19"/>
    <x v="11"/>
    <s v="Sony Interactive Entertainment"/>
    <x v="12"/>
    <x v="12"/>
    <x v="0"/>
    <x v="2"/>
    <s v="Decima/RE Engine"/>
    <s v="Mature"/>
    <n v="81"/>
    <n v="5.05"/>
    <n v="61.75"/>
    <s v="Yes"/>
    <n v="132.93"/>
    <n v="71.02"/>
    <n v="3"/>
  </r>
  <r>
    <x v="34"/>
    <x v="18"/>
    <s v="Sega"/>
    <x v="3"/>
    <x v="3"/>
    <x v="0"/>
    <x v="1"/>
    <s v="Dragon Engine"/>
    <s v="Mature"/>
    <n v="73"/>
    <n v="5.21"/>
    <n v="136.31"/>
    <s v="No"/>
    <n v="93.79"/>
    <n v="48.54"/>
    <n v="5"/>
  </r>
  <r>
    <x v="12"/>
    <x v="7"/>
    <s v="Bethesda Softworks"/>
    <x v="8"/>
    <x v="8"/>
    <x v="1"/>
    <x v="3"/>
    <s v="Gamebryo"/>
    <s v="Mature"/>
    <n v="78"/>
    <n v="8.8800000000000008"/>
    <n v="199.23"/>
    <s v="Yes"/>
    <n v="172.84"/>
    <n v="87.74"/>
    <n v="7"/>
  </r>
  <r>
    <x v="61"/>
    <x v="35"/>
    <s v="THQ Nordic"/>
    <x v="16"/>
    <x v="16"/>
    <x v="1"/>
    <x v="4"/>
    <s v="Unreal Engine"/>
    <s v="Teen"/>
    <n v="91"/>
    <n v="1.28"/>
    <n v="178.96"/>
    <s v="Yes"/>
    <n v="70.38"/>
    <n v="41.2"/>
    <n v="1"/>
  </r>
  <r>
    <x v="45"/>
    <x v="24"/>
    <s v="Capcom"/>
    <x v="18"/>
    <x v="18"/>
    <x v="1"/>
    <x v="7"/>
    <s v="Capcom Engine"/>
    <s v="Mature"/>
    <n v="81"/>
    <n v="8.86"/>
    <n v="216.88"/>
    <s v="Yes"/>
    <n v="106.68"/>
    <n v="55.98"/>
    <n v="1"/>
  </r>
  <r>
    <x v="47"/>
    <x v="26"/>
    <s v="Bandai Namco"/>
    <x v="6"/>
    <x v="6"/>
    <x v="9"/>
    <x v="5"/>
    <s v="FromEngine"/>
    <s v="Mature"/>
    <n v="73"/>
    <n v="222.17"/>
    <n v="88.4"/>
    <s v="Yes"/>
    <n v="40.369999999999997"/>
    <n v="416.95"/>
    <n v="10"/>
  </r>
  <r>
    <x v="56"/>
    <x v="8"/>
    <s v="Nintendo"/>
    <x v="5"/>
    <x v="5"/>
    <x v="0"/>
    <x v="8"/>
    <s v="Havok/Custom"/>
    <s v="E10+"/>
    <n v="95"/>
    <n v="9.83"/>
    <n v="249.29"/>
    <s v="No"/>
    <n v="182.93"/>
    <n v="88.93"/>
    <n v="14"/>
  </r>
  <r>
    <x v="50"/>
    <x v="27"/>
    <s v="Microsoft Studios"/>
    <x v="2"/>
    <x v="2"/>
    <x v="10"/>
    <x v="4"/>
    <s v="ForzaTech"/>
    <s v="E"/>
    <n v="79"/>
    <n v="2.1800000000000002"/>
    <n v="140.12"/>
    <s v="Yes"/>
    <n v="135.27000000000001"/>
    <n v="70.92"/>
    <n v="13"/>
  </r>
  <r>
    <x v="55"/>
    <x v="31"/>
    <s v="Annapurna Interactive"/>
    <x v="12"/>
    <x v="12"/>
    <x v="3"/>
    <x v="6"/>
    <s v="Custom"/>
    <s v="E"/>
    <n v="81"/>
    <n v="7.15"/>
    <n v="229.27"/>
    <s v="Yes"/>
    <n v="65.5"/>
    <n v="53.93"/>
    <n v="13"/>
  </r>
  <r>
    <x v="20"/>
    <x v="12"/>
    <s v="Mojang (Microsoft)"/>
    <x v="7"/>
    <x v="7"/>
    <x v="2"/>
    <x v="1"/>
    <s v="Custom"/>
    <s v="Everyone"/>
    <n v="82"/>
    <n v="153.02000000000001"/>
    <n v="246.99"/>
    <s v="Yes"/>
    <n v="121.11"/>
    <n v="1475.66"/>
    <n v="14"/>
  </r>
  <r>
    <x v="5"/>
    <x v="3"/>
    <s v="Ubisoft"/>
    <x v="4"/>
    <x v="4"/>
    <x v="1"/>
    <x v="1"/>
    <s v="AnvilNext"/>
    <s v="Mature"/>
    <n v="82"/>
    <n v="24.44"/>
    <n v="110.09"/>
    <s v="Yes"/>
    <n v="105.93"/>
    <n v="59.6"/>
    <n v="7"/>
  </r>
  <r>
    <x v="41"/>
    <x v="22"/>
    <s v="Deep Silver"/>
    <x v="12"/>
    <x v="12"/>
    <x v="7"/>
    <x v="2"/>
    <s v="4A Engine"/>
    <s v="Mature"/>
    <n v="58"/>
    <n v="6.33"/>
    <n v="235.85"/>
    <s v="No"/>
    <n v="68.959999999999994"/>
    <n v="41.86"/>
    <n v="21"/>
  </r>
  <r>
    <x v="39"/>
    <x v="6"/>
    <s v="Bethesda Softworks"/>
    <x v="13"/>
    <x v="13"/>
    <x v="1"/>
    <x v="6"/>
    <s v="Creation Engine"/>
    <s v="Teen"/>
    <n v="93"/>
    <n v="9.8800000000000008"/>
    <n v="120.98"/>
    <s v="Yes"/>
    <n v="162.27000000000001"/>
    <n v="89.59"/>
    <n v="9"/>
  </r>
  <r>
    <x v="19"/>
    <x v="11"/>
    <s v="Sony Interactive Entertainment"/>
    <x v="12"/>
    <x v="12"/>
    <x v="0"/>
    <x v="1"/>
    <s v="Decima/RE Engine"/>
    <s v="Mature"/>
    <n v="75"/>
    <n v="6.26"/>
    <n v="192.35"/>
    <s v="No"/>
    <n v="93.81"/>
    <n v="62.84"/>
    <n v="18"/>
  </r>
  <r>
    <x v="19"/>
    <x v="11"/>
    <s v="Sony Interactive Entertainment"/>
    <x v="12"/>
    <x v="12"/>
    <x v="0"/>
    <x v="1"/>
    <s v="Decima/RE Engine"/>
    <s v="Mature"/>
    <n v="74"/>
    <n v="7.05"/>
    <n v="192.35"/>
    <s v="No"/>
    <n v="93.81"/>
    <n v="60.31"/>
    <n v="19"/>
  </r>
  <r>
    <x v="58"/>
    <x v="32"/>
    <s v="Deep Silver"/>
    <x v="2"/>
    <x v="2"/>
    <x v="1"/>
    <x v="5"/>
    <s v="CryEngine"/>
    <s v="Mature"/>
    <n v="93"/>
    <n v="6.35"/>
    <n v="156.56"/>
    <s v="Yes"/>
    <n v="181.02"/>
    <n v="82.52"/>
    <n v="2"/>
  </r>
  <r>
    <x v="47"/>
    <x v="26"/>
    <s v="Bandai Namco"/>
    <x v="6"/>
    <x v="6"/>
    <x v="9"/>
    <x v="2"/>
    <s v="FromEngine"/>
    <s v="Mature"/>
    <n v="89"/>
    <n v="110.89"/>
    <n v="39.53"/>
    <s v="No"/>
    <n v="99.03"/>
    <n v="951.89"/>
    <n v="12"/>
  </r>
  <r>
    <x v="24"/>
    <x v="14"/>
    <s v="Ubisoft"/>
    <x v="4"/>
    <x v="4"/>
    <x v="0"/>
    <x v="4"/>
    <s v="Disrupt"/>
    <s v="Mature"/>
    <n v="86"/>
    <n v="7.45"/>
    <n v="26.37"/>
    <s v="No"/>
    <n v="155.63"/>
    <n v="79.81"/>
    <n v="19"/>
  </r>
  <r>
    <x v="56"/>
    <x v="8"/>
    <s v="Nintendo"/>
    <x v="5"/>
    <x v="5"/>
    <x v="0"/>
    <x v="8"/>
    <s v="Havok/Custom"/>
    <s v="E10+"/>
    <n v="95"/>
    <n v="10.63"/>
    <n v="249.29"/>
    <s v="No"/>
    <n v="182.93"/>
    <n v="90.53"/>
    <n v="13"/>
  </r>
  <r>
    <x v="18"/>
    <x v="10"/>
    <s v="Sony Interactive Entertainment"/>
    <x v="12"/>
    <x v="12"/>
    <x v="0"/>
    <x v="1"/>
    <s v="Proprietary"/>
    <s v="Mature"/>
    <n v="100"/>
    <n v="7.95"/>
    <n v="43.25"/>
    <s v="Yes"/>
    <n v="21.54"/>
    <n v="44.73"/>
    <n v="21"/>
  </r>
  <r>
    <x v="43"/>
    <x v="24"/>
    <s v="Capcom"/>
    <x v="2"/>
    <x v="2"/>
    <x v="1"/>
    <x v="1"/>
    <s v="MT Framework"/>
    <s v="Teen"/>
    <n v="65"/>
    <n v="7.62"/>
    <n v="160.78"/>
    <s v="Yes"/>
    <n v="121.44"/>
    <n v="61.36"/>
    <n v="11"/>
  </r>
  <r>
    <x v="15"/>
    <x v="0"/>
    <s v="Rockstar Games"/>
    <x v="10"/>
    <x v="10"/>
    <x v="0"/>
    <x v="5"/>
    <s v="RAGE"/>
    <s v="Mature"/>
    <n v="73"/>
    <n v="9.4499999999999993"/>
    <n v="240.67"/>
    <s v="No"/>
    <n v="56.77"/>
    <n v="32.340000000000003"/>
    <n v="14"/>
  </r>
  <r>
    <x v="3"/>
    <x v="2"/>
    <s v="CD Projekt"/>
    <x v="3"/>
    <x v="3"/>
    <x v="1"/>
    <x v="1"/>
    <s v="REDengine"/>
    <s v="Mature"/>
    <n v="63"/>
    <n v="180.97"/>
    <n v="39.06"/>
    <s v="Yes"/>
    <n v="36.200000000000003"/>
    <n v="1472.01"/>
    <n v="20"/>
  </r>
  <r>
    <x v="32"/>
    <x v="17"/>
    <s v="2K Games"/>
    <x v="13"/>
    <x v="13"/>
    <x v="0"/>
    <x v="5"/>
    <s v="Proprietary"/>
    <s v="Mature"/>
    <n v="82"/>
    <n v="3.37"/>
    <n v="189.35"/>
    <s v="No"/>
    <n v="126.95"/>
    <n v="66.28"/>
    <n v="7"/>
  </r>
  <r>
    <x v="54"/>
    <x v="30"/>
    <s v="Raw Fury"/>
    <x v="16"/>
    <x v="16"/>
    <x v="3"/>
    <x v="4"/>
    <s v="Unity"/>
    <s v="E"/>
    <n v="82"/>
    <n v="1.28"/>
    <n v="224.88"/>
    <s v="Yes"/>
    <n v="71.97"/>
    <n v="35"/>
    <n v="17"/>
  </r>
  <r>
    <x v="15"/>
    <x v="0"/>
    <s v="Rockstar Games"/>
    <x v="10"/>
    <x v="10"/>
    <x v="0"/>
    <x v="5"/>
    <s v="RAGE"/>
    <s v="Mature"/>
    <n v="71"/>
    <n v="7.96"/>
    <n v="240.67"/>
    <s v="No"/>
    <n v="56.77"/>
    <n v="28.22"/>
    <n v="12"/>
  </r>
  <r>
    <x v="60"/>
    <x v="34"/>
    <s v="Focus Home Interactive"/>
    <x v="12"/>
    <x v="12"/>
    <x v="1"/>
    <x v="5"/>
    <s v="Silk Engine"/>
    <s v="Mature"/>
    <n v="72"/>
    <n v="0.89"/>
    <n v="40.92"/>
    <s v="Yes"/>
    <n v="92.62"/>
    <n v="48.65"/>
    <n v="14"/>
  </r>
  <r>
    <x v="1"/>
    <x v="0"/>
    <s v="Rockstar Games"/>
    <x v="1"/>
    <x v="1"/>
    <x v="0"/>
    <x v="5"/>
    <s v="RAGE"/>
    <s v="Mature"/>
    <n v="93"/>
    <n v="6.98"/>
    <n v="134"/>
    <s v="No"/>
    <n v="52.74"/>
    <n v="38.15"/>
    <n v="9"/>
  </r>
  <r>
    <x v="20"/>
    <x v="12"/>
    <s v="Mojang (Microsoft)"/>
    <x v="7"/>
    <x v="7"/>
    <x v="2"/>
    <x v="6"/>
    <s v="Custom"/>
    <s v="Everyone"/>
    <n v="82"/>
    <n v="57.01"/>
    <n v="62.56"/>
    <s v="Yes"/>
    <n v="129.34"/>
    <n v="466.46"/>
    <n v="17"/>
  </r>
  <r>
    <x v="1"/>
    <x v="0"/>
    <s v="Rockstar Games"/>
    <x v="1"/>
    <x v="1"/>
    <x v="0"/>
    <x v="0"/>
    <s v="RAGE"/>
    <s v="Mature"/>
    <n v="66"/>
    <n v="0.54"/>
    <n v="57.75"/>
    <s v="No"/>
    <n v="61.43"/>
    <n v="38.47"/>
    <n v="8"/>
  </r>
  <r>
    <x v="19"/>
    <x v="11"/>
    <s v="Sony Interactive Entertainment"/>
    <x v="12"/>
    <x v="12"/>
    <x v="0"/>
    <x v="2"/>
    <s v="Decima/RE Engine"/>
    <s v="Mature"/>
    <n v="80"/>
    <n v="5.37"/>
    <n v="61.75"/>
    <s v="Yes"/>
    <n v="132.93"/>
    <n v="78.319999999999993"/>
    <n v="4"/>
  </r>
  <r>
    <x v="37"/>
    <x v="20"/>
    <s v="Unknown Worlds"/>
    <x v="2"/>
    <x v="2"/>
    <x v="6"/>
    <x v="6"/>
    <s v="Unity"/>
    <s v="Teen"/>
    <n v="98"/>
    <n v="4.49"/>
    <n v="63.27"/>
    <s v="Yes"/>
    <n v="169.83"/>
    <n v="100.82"/>
    <n v="12"/>
  </r>
  <r>
    <x v="19"/>
    <x v="11"/>
    <s v="Sony Interactive Entertainment"/>
    <x v="12"/>
    <x v="12"/>
    <x v="0"/>
    <x v="1"/>
    <s v="Decima/RE Engine"/>
    <s v="Mature"/>
    <n v="74"/>
    <n v="6.06"/>
    <n v="192.35"/>
    <s v="No"/>
    <n v="93.81"/>
    <n v="74.900000000000006"/>
    <n v="18"/>
  </r>
  <r>
    <x v="41"/>
    <x v="22"/>
    <s v="Deep Silver"/>
    <x v="12"/>
    <x v="12"/>
    <x v="7"/>
    <x v="2"/>
    <s v="4A Engine"/>
    <s v="Mature"/>
    <n v="63"/>
    <n v="5.99"/>
    <n v="235.85"/>
    <s v="No"/>
    <n v="68.959999999999994"/>
    <n v="44.95"/>
    <n v="20"/>
  </r>
  <r>
    <x v="6"/>
    <x v="4"/>
    <s v="Ubisoft"/>
    <x v="2"/>
    <x v="2"/>
    <x v="1"/>
    <x v="5"/>
    <s v="AnvilNext"/>
    <s v="Mature"/>
    <n v="70"/>
    <n v="21.81"/>
    <n v="70.36"/>
    <s v="Yes"/>
    <n v="53.71"/>
    <n v="220.16"/>
    <n v="14"/>
  </r>
  <r>
    <x v="39"/>
    <x v="6"/>
    <s v="Bethesda Softworks"/>
    <x v="13"/>
    <x v="13"/>
    <x v="1"/>
    <x v="1"/>
    <s v="Creation Engine"/>
    <s v="Teen"/>
    <n v="67"/>
    <n v="8.4700000000000006"/>
    <n v="161.94"/>
    <s v="Yes"/>
    <n v="65.239999999999995"/>
    <n v="49.54"/>
    <n v="18"/>
  </r>
  <r>
    <x v="57"/>
    <x v="8"/>
    <s v="Nintendo"/>
    <x v="9"/>
    <x v="9"/>
    <x v="0"/>
    <x v="6"/>
    <s v="Havok/Custom"/>
    <s v="E10+"/>
    <n v="77"/>
    <n v="3.17"/>
    <n v="237.84"/>
    <s v="No"/>
    <n v="71.64"/>
    <n v="40.549999999999997"/>
    <n v="5"/>
  </r>
  <r>
    <x v="41"/>
    <x v="22"/>
    <s v="Deep Silver"/>
    <x v="12"/>
    <x v="12"/>
    <x v="7"/>
    <x v="4"/>
    <s v="4A Engine"/>
    <s v="Mature"/>
    <n v="75"/>
    <n v="8.98"/>
    <n v="76.25"/>
    <s v="No"/>
    <n v="84.62"/>
    <n v="47.14"/>
    <n v="1"/>
  </r>
  <r>
    <x v="66"/>
    <x v="38"/>
    <s v="Rockstar Games"/>
    <x v="8"/>
    <x v="8"/>
    <x v="0"/>
    <x v="3"/>
    <s v="RAGE"/>
    <s v="Mature"/>
    <n v="94"/>
    <n v="2.02"/>
    <n v="11.43"/>
    <s v="Yes"/>
    <n v="187.01"/>
    <n v="97.59"/>
    <n v="16"/>
  </r>
  <r>
    <x v="61"/>
    <x v="35"/>
    <s v="THQ Nordic"/>
    <x v="16"/>
    <x v="16"/>
    <x v="1"/>
    <x v="4"/>
    <s v="Unreal Engine"/>
    <s v="Teen"/>
    <n v="90"/>
    <n v="1.51"/>
    <n v="178.96"/>
    <s v="Yes"/>
    <n v="70.38"/>
    <n v="45.68"/>
    <n v="0"/>
  </r>
  <r>
    <x v="15"/>
    <x v="0"/>
    <s v="Rockstar Games"/>
    <x v="10"/>
    <x v="10"/>
    <x v="0"/>
    <x v="10"/>
    <s v="RAGE"/>
    <s v="Mature"/>
    <n v="69"/>
    <n v="17.22"/>
    <n v="127.84"/>
    <s v="Yes"/>
    <n v="137.51"/>
    <n v="128.1"/>
    <n v="9"/>
  </r>
  <r>
    <x v="46"/>
    <x v="25"/>
    <s v="Frontier Developments"/>
    <x v="15"/>
    <x v="15"/>
    <x v="8"/>
    <x v="1"/>
    <s v="COBRA/Custom"/>
    <s v="Teen"/>
    <n v="86"/>
    <n v="9.33"/>
    <n v="95.85"/>
    <s v="Yes"/>
    <n v="121.49"/>
    <n v="55.82"/>
    <n v="16"/>
  </r>
  <r>
    <x v="47"/>
    <x v="26"/>
    <s v="Bandai Namco"/>
    <x v="6"/>
    <x v="6"/>
    <x v="9"/>
    <x v="1"/>
    <s v="FromEngine"/>
    <s v="Mature"/>
    <n v="96"/>
    <n v="158.91"/>
    <n v="217.15"/>
    <s v="No"/>
    <n v="145.61000000000001"/>
    <n v="1636.78"/>
    <n v="18"/>
  </r>
  <r>
    <x v="0"/>
    <x v="0"/>
    <s v="Rockstar Games"/>
    <x v="0"/>
    <x v="0"/>
    <x v="0"/>
    <x v="2"/>
    <s v="RAGE"/>
    <s v="Mature"/>
    <n v="67"/>
    <n v="174.28"/>
    <n v="175.63"/>
    <s v="No"/>
    <n v="86.81"/>
    <n v="697.71"/>
    <n v="9"/>
  </r>
  <r>
    <x v="26"/>
    <x v="3"/>
    <s v="Ubisoft"/>
    <x v="15"/>
    <x v="15"/>
    <x v="4"/>
    <x v="1"/>
    <s v="Dunia"/>
    <s v="Mature"/>
    <n v="97"/>
    <n v="10.09"/>
    <n v="61.1"/>
    <s v="No"/>
    <n v="84.25"/>
    <n v="61.54"/>
    <n v="6"/>
  </r>
  <r>
    <x v="46"/>
    <x v="25"/>
    <s v="Frontier Developments"/>
    <x v="15"/>
    <x v="15"/>
    <x v="8"/>
    <x v="4"/>
    <s v="COBRA/Custom"/>
    <s v="Teen"/>
    <n v="75"/>
    <n v="1.18"/>
    <n v="175.74"/>
    <s v="Yes"/>
    <n v="171.29"/>
    <n v="100.4"/>
    <n v="16"/>
  </r>
  <r>
    <x v="15"/>
    <x v="0"/>
    <s v="Rockstar Games"/>
    <x v="10"/>
    <x v="10"/>
    <x v="0"/>
    <x v="5"/>
    <s v="RAGE"/>
    <s v="Mature"/>
    <n v="71"/>
    <n v="10.02"/>
    <n v="240.67"/>
    <s v="No"/>
    <n v="56.77"/>
    <n v="36.119999999999997"/>
    <n v="13"/>
  </r>
  <r>
    <x v="25"/>
    <x v="3"/>
    <s v="Ubisoft"/>
    <x v="14"/>
    <x v="14"/>
    <x v="4"/>
    <x v="0"/>
    <s v="Dunia"/>
    <s v="Mature"/>
    <n v="90"/>
    <n v="25.42"/>
    <n v="162.96"/>
    <s v="No"/>
    <n v="125.1"/>
    <n v="192.94"/>
    <n v="14"/>
  </r>
  <r>
    <x v="58"/>
    <x v="32"/>
    <s v="Deep Silver"/>
    <x v="2"/>
    <x v="2"/>
    <x v="1"/>
    <x v="1"/>
    <s v="CryEngine"/>
    <s v="Mature"/>
    <n v="67"/>
    <n v="0.9"/>
    <n v="211.26"/>
    <s v="Yes"/>
    <n v="24.72"/>
    <n v="14.6"/>
    <n v="16"/>
  </r>
  <r>
    <x v="4"/>
    <x v="2"/>
    <s v="CD Projekt"/>
    <x v="4"/>
    <x v="4"/>
    <x v="1"/>
    <x v="2"/>
    <s v="REDengine"/>
    <s v="Mature"/>
    <n v="79"/>
    <n v="3.28"/>
    <n v="5.85"/>
    <s v="Yes"/>
    <n v="186.17"/>
    <n v="100.6"/>
    <n v="9"/>
  </r>
  <r>
    <x v="40"/>
    <x v="21"/>
    <s v="THQ"/>
    <x v="17"/>
    <x v="17"/>
    <x v="6"/>
    <x v="5"/>
    <s v="X-Ray"/>
    <s v="Mature"/>
    <n v="81"/>
    <n v="1.18"/>
    <n v="99.25"/>
    <s v="Yes"/>
    <n v="56.57"/>
    <n v="30.07"/>
    <n v="11"/>
  </r>
  <r>
    <x v="20"/>
    <x v="12"/>
    <s v="Mojang (Microsoft)"/>
    <x v="7"/>
    <x v="7"/>
    <x v="2"/>
    <x v="1"/>
    <s v="Custom"/>
    <s v="Everyone"/>
    <n v="86"/>
    <n v="143.85"/>
    <n v="246.99"/>
    <s v="Yes"/>
    <n v="121.11"/>
    <n v="1283.1500000000001"/>
    <n v="13"/>
  </r>
  <r>
    <x v="47"/>
    <x v="26"/>
    <s v="Bandai Namco"/>
    <x v="6"/>
    <x v="6"/>
    <x v="9"/>
    <x v="1"/>
    <s v="FromEngine"/>
    <s v="Mature"/>
    <n v="92"/>
    <n v="170.75"/>
    <n v="217.15"/>
    <s v="No"/>
    <n v="145.61000000000001"/>
    <n v="1622.15"/>
    <n v="20"/>
  </r>
  <r>
    <x v="26"/>
    <x v="3"/>
    <s v="Ubisoft"/>
    <x v="15"/>
    <x v="15"/>
    <x v="4"/>
    <x v="4"/>
    <s v="Dunia"/>
    <s v="Mature"/>
    <n v="73"/>
    <n v="22.4"/>
    <n v="133.19999999999999"/>
    <s v="No"/>
    <n v="87.97"/>
    <n v="175.26"/>
    <n v="11"/>
  </r>
  <r>
    <x v="27"/>
    <x v="3"/>
    <s v="Ubisoft"/>
    <x v="2"/>
    <x v="2"/>
    <x v="4"/>
    <x v="4"/>
    <s v="Dunia"/>
    <s v="Mature"/>
    <n v="67"/>
    <n v="11.53"/>
    <n v="45.68"/>
    <s v="No"/>
    <n v="7.76"/>
    <n v="67.45"/>
    <n v="8"/>
  </r>
  <r>
    <x v="62"/>
    <x v="36"/>
    <s v="Pocketpair"/>
    <x v="18"/>
    <x v="18"/>
    <x v="6"/>
    <x v="7"/>
    <s v="Custom"/>
    <s v="Teen"/>
    <n v="86"/>
    <n v="6.26"/>
    <n v="16.64"/>
    <s v="Yes"/>
    <n v="168.15"/>
    <n v="85.78"/>
    <n v="16"/>
  </r>
  <r>
    <x v="26"/>
    <x v="3"/>
    <s v="Ubisoft"/>
    <x v="15"/>
    <x v="15"/>
    <x v="4"/>
    <x v="3"/>
    <s v="Dunia"/>
    <s v="Mature"/>
    <n v="77"/>
    <n v="19.850000000000001"/>
    <n v="5.29"/>
    <s v="No"/>
    <n v="62.38"/>
    <n v="104.25"/>
    <n v="6"/>
  </r>
  <r>
    <x v="37"/>
    <x v="20"/>
    <s v="Unknown Worlds"/>
    <x v="2"/>
    <x v="2"/>
    <x v="6"/>
    <x v="1"/>
    <s v="Unity"/>
    <s v="Teen"/>
    <n v="68"/>
    <n v="2.33"/>
    <n v="159.84"/>
    <s v="Yes"/>
    <n v="94.62"/>
    <n v="53.28"/>
    <n v="14"/>
  </r>
  <r>
    <x v="43"/>
    <x v="24"/>
    <s v="Capcom"/>
    <x v="2"/>
    <x v="2"/>
    <x v="1"/>
    <x v="4"/>
    <s v="MT Framework"/>
    <s v="Teen"/>
    <n v="68"/>
    <n v="8.81"/>
    <n v="52.1"/>
    <s v="Yes"/>
    <n v="166.81"/>
    <n v="75.36"/>
    <n v="19"/>
  </r>
  <r>
    <x v="52"/>
    <x v="28"/>
    <s v="Electronic Arts"/>
    <x v="2"/>
    <x v="2"/>
    <x v="10"/>
    <x v="1"/>
    <s v="Burnout Engine"/>
    <s v="E"/>
    <n v="85"/>
    <n v="3.94"/>
    <n v="20.58"/>
    <s v="Yes"/>
    <n v="174.75"/>
    <n v="96.15"/>
    <n v="7"/>
  </r>
  <r>
    <x v="44"/>
    <x v="24"/>
    <s v="Capcom"/>
    <x v="14"/>
    <x v="14"/>
    <x v="1"/>
    <x v="3"/>
    <s v="Proprietary"/>
    <s v="Mature"/>
    <n v="85"/>
    <n v="0.37"/>
    <n v="4.7"/>
    <s v="Yes"/>
    <n v="159.05000000000001"/>
    <n v="83.57"/>
    <n v="11"/>
  </r>
  <r>
    <x v="45"/>
    <x v="24"/>
    <s v="Capcom"/>
    <x v="18"/>
    <x v="18"/>
    <x v="1"/>
    <x v="2"/>
    <s v="Capcom Engine"/>
    <s v="Mature"/>
    <n v="76"/>
    <n v="7.29"/>
    <n v="128.80000000000001"/>
    <s v="Yes"/>
    <n v="26.27"/>
    <n v="50.72"/>
    <n v="19"/>
  </r>
  <r>
    <x v="53"/>
    <x v="29"/>
    <s v="Ubisoft"/>
    <x v="2"/>
    <x v="2"/>
    <x v="10"/>
    <x v="1"/>
    <s v="Dunia"/>
    <s v="E"/>
    <n v="85"/>
    <n v="7.31"/>
    <n v="190.21"/>
    <s v="Yes"/>
    <n v="92.54"/>
    <n v="83.73"/>
    <n v="18"/>
  </r>
  <r>
    <x v="22"/>
    <x v="7"/>
    <s v="Private Division"/>
    <x v="12"/>
    <x v="12"/>
    <x v="1"/>
    <x v="4"/>
    <s v="Unreal Engine"/>
    <s v="Mature"/>
    <n v="99"/>
    <n v="1.53"/>
    <n v="155.94"/>
    <s v="Yes"/>
    <n v="10.26"/>
    <n v="6.69"/>
    <n v="18"/>
  </r>
  <r>
    <x v="20"/>
    <x v="12"/>
    <s v="Mojang (Microsoft)"/>
    <x v="7"/>
    <x v="7"/>
    <x v="2"/>
    <x v="1"/>
    <s v="Custom"/>
    <s v="Everyone"/>
    <n v="82"/>
    <n v="172.48"/>
    <n v="246.99"/>
    <s v="Yes"/>
    <n v="121.11"/>
    <n v="1683.14"/>
    <n v="13"/>
  </r>
  <r>
    <x v="35"/>
    <x v="18"/>
    <s v="Sega"/>
    <x v="4"/>
    <x v="4"/>
    <x v="5"/>
    <x v="2"/>
    <s v="Dragon Engine"/>
    <s v="Mature"/>
    <n v="71"/>
    <n v="9.86"/>
    <n v="110.64"/>
    <s v="No"/>
    <n v="107.56"/>
    <n v="62.49"/>
    <n v="3"/>
  </r>
  <r>
    <x v="43"/>
    <x v="24"/>
    <s v="Capcom"/>
    <x v="2"/>
    <x v="2"/>
    <x v="1"/>
    <x v="4"/>
    <s v="MT Framework"/>
    <s v="Teen"/>
    <n v="67"/>
    <n v="8.82"/>
    <n v="52.1"/>
    <s v="Yes"/>
    <n v="166.81"/>
    <n v="78.760000000000005"/>
    <n v="18"/>
  </r>
  <r>
    <x v="16"/>
    <x v="0"/>
    <s v="Rockstar Games"/>
    <x v="11"/>
    <x v="11"/>
    <x v="0"/>
    <x v="9"/>
    <s v="RAGE"/>
    <s v="Mature"/>
    <n v="71"/>
    <n v="21.34"/>
    <n v="246.07"/>
    <s v="Yes"/>
    <n v="27.55"/>
    <n v="197.88"/>
    <n v="5"/>
  </r>
  <r>
    <x v="15"/>
    <x v="0"/>
    <s v="Rockstar Games"/>
    <x v="10"/>
    <x v="10"/>
    <x v="0"/>
    <x v="5"/>
    <s v="RAGE"/>
    <s v="Mature"/>
    <n v="74"/>
    <n v="8.93"/>
    <n v="240.67"/>
    <s v="No"/>
    <n v="56.77"/>
    <n v="32.29"/>
    <n v="15"/>
  </r>
  <r>
    <x v="66"/>
    <x v="38"/>
    <s v="Rockstar Games"/>
    <x v="8"/>
    <x v="8"/>
    <x v="0"/>
    <x v="3"/>
    <s v="RAGE"/>
    <s v="Mature"/>
    <n v="89"/>
    <n v="2.29"/>
    <n v="11.43"/>
    <s v="Yes"/>
    <n v="187.01"/>
    <n v="104.26"/>
    <n v="17"/>
  </r>
  <r>
    <x v="11"/>
    <x v="6"/>
    <s v="Bethesda Softworks"/>
    <x v="3"/>
    <x v="3"/>
    <x v="1"/>
    <x v="4"/>
    <s v="Creation Engine"/>
    <s v="Mature"/>
    <n v="85"/>
    <n v="4.43"/>
    <n v="69.89"/>
    <s v="Yes"/>
    <n v="5.69"/>
    <n v="31.22"/>
    <n v="19"/>
  </r>
  <r>
    <x v="18"/>
    <x v="10"/>
    <s v="Sony Interactive Entertainment"/>
    <x v="12"/>
    <x v="12"/>
    <x v="0"/>
    <x v="5"/>
    <s v="Proprietary"/>
    <s v="Mature"/>
    <n v="88"/>
    <n v="9.7799999999999994"/>
    <n v="59.48"/>
    <s v="Yes"/>
    <n v="65.53"/>
    <n v="76.459999999999994"/>
    <n v="5"/>
  </r>
  <r>
    <x v="44"/>
    <x v="24"/>
    <s v="Capcom"/>
    <x v="14"/>
    <x v="14"/>
    <x v="1"/>
    <x v="3"/>
    <s v="Proprietary"/>
    <s v="Mature"/>
    <n v="89"/>
    <n v="0.33"/>
    <n v="4.7"/>
    <s v="Yes"/>
    <n v="159.05000000000001"/>
    <n v="77.650000000000006"/>
    <n v="9"/>
  </r>
  <r>
    <x v="31"/>
    <x v="16"/>
    <s v="THQ"/>
    <x v="7"/>
    <x v="7"/>
    <x v="0"/>
    <x v="0"/>
    <s v="Proprietary"/>
    <s v="Mature"/>
    <n v="93"/>
    <n v="6.23"/>
    <n v="68.11"/>
    <s v="No"/>
    <n v="12.85"/>
    <n v="54.2"/>
    <n v="16"/>
  </r>
  <r>
    <x v="7"/>
    <x v="3"/>
    <s v="Ubisoft"/>
    <x v="5"/>
    <x v="5"/>
    <x v="1"/>
    <x v="4"/>
    <s v="AnvilNext"/>
    <s v="Mature"/>
    <n v="74"/>
    <n v="24.5"/>
    <n v="54.22"/>
    <s v="Yes"/>
    <n v="83.2"/>
    <n v="49.1"/>
    <n v="11"/>
  </r>
  <r>
    <x v="1"/>
    <x v="0"/>
    <s v="Rockstar Games"/>
    <x v="1"/>
    <x v="1"/>
    <x v="0"/>
    <x v="5"/>
    <s v="RAGE"/>
    <s v="Mature"/>
    <n v="87"/>
    <n v="5.97"/>
    <n v="134"/>
    <s v="No"/>
    <n v="52.74"/>
    <n v="32.549999999999997"/>
    <n v="7"/>
  </r>
  <r>
    <x v="26"/>
    <x v="3"/>
    <s v="Ubisoft"/>
    <x v="15"/>
    <x v="15"/>
    <x v="4"/>
    <x v="3"/>
    <s v="Dunia"/>
    <s v="Mature"/>
    <n v="79"/>
    <n v="21.71"/>
    <n v="5.29"/>
    <s v="No"/>
    <n v="62.38"/>
    <n v="106.97"/>
    <n v="6"/>
  </r>
  <r>
    <x v="31"/>
    <x v="16"/>
    <s v="THQ"/>
    <x v="7"/>
    <x v="7"/>
    <x v="0"/>
    <x v="0"/>
    <s v="Proprietary"/>
    <s v="Mature"/>
    <n v="95"/>
    <n v="8.92"/>
    <n v="68.11"/>
    <s v="No"/>
    <n v="12.85"/>
    <n v="62.48"/>
    <n v="14"/>
  </r>
  <r>
    <x v="31"/>
    <x v="16"/>
    <s v="THQ"/>
    <x v="7"/>
    <x v="7"/>
    <x v="0"/>
    <x v="0"/>
    <s v="Proprietary"/>
    <s v="Mature"/>
    <n v="97"/>
    <n v="10.37"/>
    <n v="68.11"/>
    <s v="No"/>
    <n v="12.85"/>
    <n v="58.72"/>
    <n v="14"/>
  </r>
  <r>
    <x v="17"/>
    <x v="9"/>
    <s v="Sony Interactive Entertainment"/>
    <x v="4"/>
    <x v="4"/>
    <x v="0"/>
    <x v="1"/>
    <s v="Decima"/>
    <s v="Teen"/>
    <n v="81"/>
    <n v="3.99"/>
    <n v="174.6"/>
    <s v="No"/>
    <n v="113.11"/>
    <n v="57.56"/>
    <n v="11"/>
  </r>
  <r>
    <x v="32"/>
    <x v="17"/>
    <s v="2K Games"/>
    <x v="13"/>
    <x v="13"/>
    <x v="0"/>
    <x v="1"/>
    <s v="Proprietary"/>
    <s v="Mature"/>
    <n v="76"/>
    <n v="7.34"/>
    <n v="137.97"/>
    <s v="No"/>
    <n v="93.69"/>
    <n v="42.48"/>
    <n v="10"/>
  </r>
  <r>
    <x v="47"/>
    <x v="26"/>
    <s v="Bandai Namco"/>
    <x v="6"/>
    <x v="6"/>
    <x v="9"/>
    <x v="4"/>
    <s v="FromEngine"/>
    <s v="Mature"/>
    <n v="97"/>
    <n v="71.75"/>
    <n v="57.31"/>
    <s v="No"/>
    <n v="88.68"/>
    <n v="412.1"/>
    <n v="20"/>
  </r>
  <r>
    <x v="33"/>
    <x v="11"/>
    <s v="Konami"/>
    <x v="3"/>
    <x v="3"/>
    <x v="0"/>
    <x v="0"/>
    <s v="Fox Engine"/>
    <s v="Mature"/>
    <n v="96"/>
    <n v="3.06"/>
    <n v="220.33"/>
    <s v="No"/>
    <n v="99.52"/>
    <n v="47.1"/>
    <n v="19"/>
  </r>
  <r>
    <x v="16"/>
    <x v="0"/>
    <s v="Rockstar Games"/>
    <x v="11"/>
    <x v="11"/>
    <x v="0"/>
    <x v="9"/>
    <s v="RAGE"/>
    <s v="Mature"/>
    <n v="71"/>
    <n v="21.23"/>
    <n v="246.07"/>
    <s v="Yes"/>
    <n v="27.55"/>
    <n v="173.36"/>
    <n v="5"/>
  </r>
  <r>
    <x v="34"/>
    <x v="18"/>
    <s v="Sega"/>
    <x v="3"/>
    <x v="3"/>
    <x v="0"/>
    <x v="1"/>
    <s v="Dragon Engine"/>
    <s v="Mature"/>
    <n v="71"/>
    <n v="5.12"/>
    <n v="136.31"/>
    <s v="No"/>
    <n v="93.79"/>
    <n v="50.57"/>
    <n v="6"/>
  </r>
  <r>
    <x v="6"/>
    <x v="4"/>
    <s v="Ubisoft"/>
    <x v="2"/>
    <x v="2"/>
    <x v="1"/>
    <x v="5"/>
    <s v="AnvilNext"/>
    <s v="Mature"/>
    <n v="72"/>
    <n v="24.23"/>
    <n v="70.36"/>
    <s v="Yes"/>
    <n v="53.71"/>
    <n v="201.36"/>
    <n v="15"/>
  </r>
  <r>
    <x v="4"/>
    <x v="2"/>
    <s v="CD Projekt"/>
    <x v="4"/>
    <x v="4"/>
    <x v="1"/>
    <x v="5"/>
    <s v="REDengine"/>
    <s v="Mature"/>
    <n v="79"/>
    <n v="9.9600000000000009"/>
    <n v="232.3"/>
    <s v="Yes"/>
    <n v="152.28"/>
    <n v="80.86"/>
    <n v="8"/>
  </r>
  <r>
    <x v="20"/>
    <x v="12"/>
    <s v="Mojang (Microsoft)"/>
    <x v="7"/>
    <x v="7"/>
    <x v="2"/>
    <x v="5"/>
    <s v="Custom"/>
    <s v="Everyone"/>
    <n v="86"/>
    <n v="66.44"/>
    <n v="110.53"/>
    <s v="Yes"/>
    <n v="144.13999999999999"/>
    <n v="167.38"/>
    <n v="11"/>
  </r>
  <r>
    <x v="3"/>
    <x v="2"/>
    <s v="CD Projekt"/>
    <x v="3"/>
    <x v="3"/>
    <x v="1"/>
    <x v="1"/>
    <s v="REDengine"/>
    <s v="Mature"/>
    <n v="62"/>
    <n v="194.22"/>
    <n v="39.06"/>
    <s v="Yes"/>
    <n v="36.200000000000003"/>
    <n v="1665.96"/>
    <n v="20"/>
  </r>
  <r>
    <x v="33"/>
    <x v="11"/>
    <s v="Konami"/>
    <x v="3"/>
    <x v="3"/>
    <x v="0"/>
    <x v="5"/>
    <s v="Fox Engine"/>
    <s v="Mature"/>
    <n v="67"/>
    <n v="9.01"/>
    <n v="213.75"/>
    <s v="Yes"/>
    <n v="71.28"/>
    <n v="74.959999999999994"/>
    <n v="9"/>
  </r>
  <r>
    <x v="31"/>
    <x v="16"/>
    <s v="THQ"/>
    <x v="7"/>
    <x v="7"/>
    <x v="0"/>
    <x v="5"/>
    <s v="Proprietary"/>
    <s v="Mature"/>
    <n v="74"/>
    <n v="3.25"/>
    <n v="27.05"/>
    <s v="No"/>
    <n v="36.36"/>
    <n v="16.690000000000001"/>
    <n v="16"/>
  </r>
  <r>
    <x v="25"/>
    <x v="3"/>
    <s v="Ubisoft"/>
    <x v="14"/>
    <x v="14"/>
    <x v="4"/>
    <x v="0"/>
    <s v="Dunia"/>
    <s v="Mature"/>
    <n v="92"/>
    <n v="24.09"/>
    <n v="162.96"/>
    <s v="No"/>
    <n v="125.1"/>
    <n v="216.03"/>
    <n v="14"/>
  </r>
  <r>
    <x v="48"/>
    <x v="26"/>
    <s v="Bandai Namco"/>
    <x v="13"/>
    <x v="13"/>
    <x v="9"/>
    <x v="5"/>
    <s v="FromEngine"/>
    <s v="Mature"/>
    <n v="88"/>
    <n v="0.65"/>
    <n v="21.31"/>
    <s v="No"/>
    <n v="91.41"/>
    <n v="51.9"/>
    <n v="19"/>
  </r>
  <r>
    <x v="34"/>
    <x v="18"/>
    <s v="Sega"/>
    <x v="3"/>
    <x v="3"/>
    <x v="0"/>
    <x v="1"/>
    <s v="Dragon Engine"/>
    <s v="Mature"/>
    <n v="71"/>
    <n v="5.24"/>
    <n v="136.31"/>
    <s v="No"/>
    <n v="93.79"/>
    <n v="50.06"/>
    <n v="5"/>
  </r>
  <r>
    <x v="61"/>
    <x v="35"/>
    <s v="THQ Nordic"/>
    <x v="16"/>
    <x v="16"/>
    <x v="1"/>
    <x v="4"/>
    <s v="Unreal Engine"/>
    <s v="Teen"/>
    <n v="91"/>
    <n v="1.24"/>
    <n v="178.96"/>
    <s v="Yes"/>
    <n v="70.38"/>
    <n v="39.869999999999997"/>
    <n v="2"/>
  </r>
  <r>
    <x v="21"/>
    <x v="13"/>
    <s v="Hello Games"/>
    <x v="13"/>
    <x v="13"/>
    <x v="3"/>
    <x v="1"/>
    <s v="Custom"/>
    <s v="Everyone"/>
    <n v="82"/>
    <n v="4.3"/>
    <n v="136.11000000000001"/>
    <s v="Yes"/>
    <n v="86.08"/>
    <n v="39.479999999999997"/>
    <n v="13"/>
  </r>
  <r>
    <x v="61"/>
    <x v="35"/>
    <s v="THQ Nordic"/>
    <x v="16"/>
    <x v="16"/>
    <x v="1"/>
    <x v="2"/>
    <s v="Unreal Engine"/>
    <s v="Teen"/>
    <n v="78"/>
    <n v="5.37"/>
    <n v="59.71"/>
    <s v="Yes"/>
    <n v="198.93"/>
    <n v="101.11"/>
    <n v="0"/>
  </r>
  <r>
    <x v="28"/>
    <x v="14"/>
    <s v="Ubisoft"/>
    <x v="16"/>
    <x v="16"/>
    <x v="4"/>
    <x v="5"/>
    <s v="Dunia"/>
    <s v="Mature"/>
    <n v="84"/>
    <n v="6.31"/>
    <n v="190.92"/>
    <s v="Yes"/>
    <n v="126.98"/>
    <n v="74.709999999999994"/>
    <n v="2"/>
  </r>
  <r>
    <x v="11"/>
    <x v="6"/>
    <s v="Bethesda Softworks"/>
    <x v="3"/>
    <x v="3"/>
    <x v="1"/>
    <x v="5"/>
    <s v="Creation Engine"/>
    <s v="Mature"/>
    <n v="68"/>
    <n v="8.31"/>
    <n v="138.37"/>
    <s v="Yes"/>
    <n v="88.4"/>
    <n v="42.31"/>
    <n v="2"/>
  </r>
  <r>
    <x v="54"/>
    <x v="30"/>
    <s v="Raw Fury"/>
    <x v="16"/>
    <x v="16"/>
    <x v="3"/>
    <x v="2"/>
    <s v="Unity"/>
    <s v="E"/>
    <n v="91"/>
    <n v="8.7799999999999994"/>
    <n v="163.31"/>
    <s v="Yes"/>
    <n v="67.7"/>
    <n v="39.1"/>
    <n v="3"/>
  </r>
  <r>
    <x v="26"/>
    <x v="3"/>
    <s v="Ubisoft"/>
    <x v="15"/>
    <x v="15"/>
    <x v="4"/>
    <x v="5"/>
    <s v="Dunia"/>
    <s v="Mature"/>
    <n v="73"/>
    <n v="15.4"/>
    <n v="58.4"/>
    <s v="Yes"/>
    <n v="145.65"/>
    <n v="81.37"/>
    <n v="18"/>
  </r>
  <r>
    <x v="31"/>
    <x v="16"/>
    <s v="THQ"/>
    <x v="7"/>
    <x v="7"/>
    <x v="0"/>
    <x v="0"/>
    <s v="Proprietary"/>
    <s v="Mature"/>
    <n v="92"/>
    <n v="6.51"/>
    <n v="68.11"/>
    <s v="No"/>
    <n v="12.85"/>
    <n v="61.85"/>
    <n v="15"/>
  </r>
  <r>
    <x v="1"/>
    <x v="0"/>
    <s v="Rockstar Games"/>
    <x v="1"/>
    <x v="1"/>
    <x v="0"/>
    <x v="3"/>
    <s v="RAGE"/>
    <s v="Mature"/>
    <n v="82"/>
    <n v="7.55"/>
    <n v="91.84"/>
    <s v="No"/>
    <n v="77.19"/>
    <n v="45.87"/>
    <n v="7"/>
  </r>
  <r>
    <x v="6"/>
    <x v="4"/>
    <s v="Ubisoft"/>
    <x v="2"/>
    <x v="2"/>
    <x v="1"/>
    <x v="5"/>
    <s v="AnvilNext"/>
    <s v="Mature"/>
    <n v="69"/>
    <n v="22.64"/>
    <n v="70.36"/>
    <s v="Yes"/>
    <n v="53.71"/>
    <n v="207.25"/>
    <n v="13"/>
  </r>
  <r>
    <x v="34"/>
    <x v="18"/>
    <s v="Sega"/>
    <x v="3"/>
    <x v="3"/>
    <x v="0"/>
    <x v="0"/>
    <s v="Dragon Engine"/>
    <s v="Mature"/>
    <n v="78"/>
    <n v="8.36"/>
    <n v="145.4"/>
    <s v="No"/>
    <n v="133.69"/>
    <n v="72.62"/>
    <n v="14"/>
  </r>
  <r>
    <x v="34"/>
    <x v="18"/>
    <s v="Sega"/>
    <x v="3"/>
    <x v="3"/>
    <x v="0"/>
    <x v="1"/>
    <s v="Dragon Engine"/>
    <s v="Mature"/>
    <n v="75"/>
    <n v="5.25"/>
    <n v="136.31"/>
    <s v="No"/>
    <n v="93.79"/>
    <n v="47.49"/>
    <n v="6"/>
  </r>
  <r>
    <x v="7"/>
    <x v="3"/>
    <s v="Ubisoft"/>
    <x v="5"/>
    <x v="5"/>
    <x v="1"/>
    <x v="5"/>
    <s v="AnvilNext"/>
    <s v="Mature"/>
    <n v="83"/>
    <n v="13.09"/>
    <n v="196.23"/>
    <s v="Yes"/>
    <n v="93.73"/>
    <n v="63.79"/>
    <n v="17"/>
  </r>
  <r>
    <x v="46"/>
    <x v="25"/>
    <s v="Frontier Developments"/>
    <x v="15"/>
    <x v="15"/>
    <x v="8"/>
    <x v="1"/>
    <s v="COBRA/Custom"/>
    <s v="Teen"/>
    <n v="84"/>
    <n v="7.23"/>
    <n v="95.85"/>
    <s v="Yes"/>
    <n v="121.49"/>
    <n v="62.21"/>
    <n v="17"/>
  </r>
  <r>
    <x v="31"/>
    <x v="16"/>
    <s v="THQ"/>
    <x v="7"/>
    <x v="7"/>
    <x v="0"/>
    <x v="5"/>
    <s v="Proprietary"/>
    <s v="Mature"/>
    <n v="76"/>
    <n v="3.1"/>
    <n v="27.05"/>
    <s v="No"/>
    <n v="36.36"/>
    <n v="17.78"/>
    <n v="16"/>
  </r>
  <r>
    <x v="54"/>
    <x v="30"/>
    <s v="Raw Fury"/>
    <x v="16"/>
    <x v="16"/>
    <x v="3"/>
    <x v="4"/>
    <s v="Unity"/>
    <s v="E"/>
    <n v="84"/>
    <n v="1.31"/>
    <n v="224.88"/>
    <s v="Yes"/>
    <n v="71.97"/>
    <n v="33.1"/>
    <n v="17"/>
  </r>
  <r>
    <x v="33"/>
    <x v="11"/>
    <s v="Konami"/>
    <x v="3"/>
    <x v="3"/>
    <x v="0"/>
    <x v="0"/>
    <s v="Fox Engine"/>
    <s v="Mature"/>
    <n v="98"/>
    <n v="3.16"/>
    <n v="220.33"/>
    <s v="No"/>
    <n v="99.52"/>
    <n v="48.45"/>
    <n v="21"/>
  </r>
  <r>
    <x v="22"/>
    <x v="7"/>
    <s v="Private Division"/>
    <x v="12"/>
    <x v="12"/>
    <x v="1"/>
    <x v="4"/>
    <s v="Unreal Engine"/>
    <s v="Mature"/>
    <n v="100"/>
    <n v="1.53"/>
    <n v="155.94"/>
    <s v="Yes"/>
    <n v="10.26"/>
    <n v="7.55"/>
    <n v="18"/>
  </r>
  <r>
    <x v="11"/>
    <x v="6"/>
    <s v="Bethesda Softworks"/>
    <x v="3"/>
    <x v="3"/>
    <x v="1"/>
    <x v="5"/>
    <s v="Creation Engine"/>
    <s v="Mature"/>
    <n v="70"/>
    <n v="9.32"/>
    <n v="138.37"/>
    <s v="Yes"/>
    <n v="88.4"/>
    <n v="43.93"/>
    <n v="3"/>
  </r>
  <r>
    <x v="50"/>
    <x v="27"/>
    <s v="Microsoft Studios"/>
    <x v="2"/>
    <x v="2"/>
    <x v="10"/>
    <x v="4"/>
    <s v="ForzaTech"/>
    <s v="E"/>
    <n v="80"/>
    <n v="2.2400000000000002"/>
    <n v="140.12"/>
    <s v="Yes"/>
    <n v="135.27000000000001"/>
    <n v="71.97"/>
    <n v="11"/>
  </r>
  <r>
    <x v="47"/>
    <x v="26"/>
    <s v="Bandai Namco"/>
    <x v="6"/>
    <x v="6"/>
    <x v="9"/>
    <x v="5"/>
    <s v="FromEngine"/>
    <s v="Mature"/>
    <n v="75"/>
    <n v="263.75"/>
    <n v="88.4"/>
    <s v="Yes"/>
    <n v="40.369999999999997"/>
    <n v="440.79"/>
    <n v="9"/>
  </r>
  <r>
    <x v="11"/>
    <x v="6"/>
    <s v="Bethesda Softworks"/>
    <x v="3"/>
    <x v="3"/>
    <x v="1"/>
    <x v="4"/>
    <s v="Creation Engine"/>
    <s v="Mature"/>
    <n v="82"/>
    <n v="5"/>
    <n v="69.89"/>
    <s v="Yes"/>
    <n v="5.69"/>
    <n v="31.96"/>
    <n v="20"/>
  </r>
  <r>
    <x v="33"/>
    <x v="11"/>
    <s v="Konami"/>
    <x v="3"/>
    <x v="3"/>
    <x v="0"/>
    <x v="1"/>
    <s v="Fox Engine"/>
    <s v="Mature"/>
    <n v="86"/>
    <n v="1.86"/>
    <n v="138.16"/>
    <s v="No"/>
    <n v="112.69"/>
    <n v="50.86"/>
    <n v="4"/>
  </r>
  <r>
    <x v="4"/>
    <x v="2"/>
    <s v="CD Projekt"/>
    <x v="4"/>
    <x v="4"/>
    <x v="1"/>
    <x v="4"/>
    <s v="REDengine"/>
    <s v="Mature"/>
    <n v="67"/>
    <n v="2.5"/>
    <n v="142.27000000000001"/>
    <s v="Yes"/>
    <n v="20.36"/>
    <n v="20.37"/>
    <n v="4"/>
  </r>
  <r>
    <x v="7"/>
    <x v="3"/>
    <s v="Ubisoft"/>
    <x v="5"/>
    <x v="5"/>
    <x v="1"/>
    <x v="1"/>
    <s v="AnvilNext"/>
    <s v="Mature"/>
    <n v="65"/>
    <n v="4.74"/>
    <n v="249.82"/>
    <s v="Yes"/>
    <n v="168.03"/>
    <n v="78.48"/>
    <n v="9"/>
  </r>
  <r>
    <x v="60"/>
    <x v="34"/>
    <s v="Focus Home Interactive"/>
    <x v="12"/>
    <x v="12"/>
    <x v="1"/>
    <x v="4"/>
    <s v="Silk Engine"/>
    <s v="Mature"/>
    <n v="78"/>
    <n v="4.4000000000000004"/>
    <n v="93.43"/>
    <s v="Yes"/>
    <n v="187.19"/>
    <n v="104.51"/>
    <n v="17"/>
  </r>
  <r>
    <x v="41"/>
    <x v="22"/>
    <s v="Deep Silver"/>
    <x v="12"/>
    <x v="12"/>
    <x v="7"/>
    <x v="1"/>
    <s v="4A Engine"/>
    <s v="Mature"/>
    <n v="90"/>
    <n v="7.1"/>
    <n v="146.56"/>
    <s v="Yes"/>
    <n v="165.37"/>
    <n v="91.73"/>
    <n v="3"/>
  </r>
  <r>
    <x v="25"/>
    <x v="3"/>
    <s v="Ubisoft"/>
    <x v="14"/>
    <x v="14"/>
    <x v="4"/>
    <x v="5"/>
    <s v="Dunia"/>
    <s v="Mature"/>
    <n v="73"/>
    <n v="27.8"/>
    <n v="167.38"/>
    <s v="No"/>
    <n v="70.599999999999994"/>
    <n v="136.25"/>
    <n v="9"/>
  </r>
  <r>
    <x v="27"/>
    <x v="3"/>
    <s v="Ubisoft"/>
    <x v="2"/>
    <x v="2"/>
    <x v="4"/>
    <x v="4"/>
    <s v="Dunia"/>
    <s v="Mature"/>
    <n v="70"/>
    <n v="11.26"/>
    <n v="45.68"/>
    <s v="No"/>
    <n v="7.76"/>
    <n v="70.72"/>
    <n v="8"/>
  </r>
  <r>
    <x v="58"/>
    <x v="32"/>
    <s v="Deep Silver"/>
    <x v="2"/>
    <x v="2"/>
    <x v="1"/>
    <x v="1"/>
    <s v="CryEngine"/>
    <s v="Mature"/>
    <n v="61"/>
    <n v="0.87"/>
    <n v="211.26"/>
    <s v="Yes"/>
    <n v="24.72"/>
    <n v="12.63"/>
    <n v="17"/>
  </r>
  <r>
    <x v="34"/>
    <x v="18"/>
    <s v="Sega"/>
    <x v="3"/>
    <x v="3"/>
    <x v="0"/>
    <x v="5"/>
    <s v="Dragon Engine"/>
    <s v="Mature"/>
    <n v="75"/>
    <n v="8.2899999999999991"/>
    <n v="103.28"/>
    <s v="No"/>
    <n v="67.040000000000006"/>
    <n v="49.79"/>
    <n v="11"/>
  </r>
  <r>
    <x v="53"/>
    <x v="29"/>
    <s v="Ubisoft"/>
    <x v="2"/>
    <x v="2"/>
    <x v="10"/>
    <x v="1"/>
    <s v="Dunia"/>
    <s v="E"/>
    <n v="88"/>
    <n v="8"/>
    <n v="190.21"/>
    <s v="Yes"/>
    <n v="92.54"/>
    <n v="76.150000000000006"/>
    <n v="18"/>
  </r>
  <r>
    <x v="54"/>
    <x v="30"/>
    <s v="Raw Fury"/>
    <x v="16"/>
    <x v="16"/>
    <x v="3"/>
    <x v="4"/>
    <s v="Unity"/>
    <s v="E"/>
    <n v="84"/>
    <n v="1.19"/>
    <n v="224.88"/>
    <s v="Yes"/>
    <n v="71.97"/>
    <n v="32.99"/>
    <n v="15"/>
  </r>
  <r>
    <x v="20"/>
    <x v="12"/>
    <s v="Mojang (Microsoft)"/>
    <x v="7"/>
    <x v="7"/>
    <x v="2"/>
    <x v="5"/>
    <s v="Custom"/>
    <s v="Everyone"/>
    <n v="84"/>
    <n v="61.44"/>
    <n v="110.53"/>
    <s v="Yes"/>
    <n v="144.13999999999999"/>
    <n v="193.09"/>
    <n v="12"/>
  </r>
  <r>
    <x v="47"/>
    <x v="26"/>
    <s v="Bandai Namco"/>
    <x v="6"/>
    <x v="6"/>
    <x v="9"/>
    <x v="1"/>
    <s v="FromEngine"/>
    <s v="Mature"/>
    <n v="95"/>
    <n v="182.02"/>
    <n v="217.15"/>
    <s v="No"/>
    <n v="145.61000000000001"/>
    <n v="1766.9"/>
    <n v="20"/>
  </r>
  <r>
    <x v="4"/>
    <x v="2"/>
    <s v="CD Projekt"/>
    <x v="4"/>
    <x v="4"/>
    <x v="1"/>
    <x v="7"/>
    <s v="REDengine"/>
    <s v="Mature"/>
    <n v="91"/>
    <n v="1.3"/>
    <n v="165.28"/>
    <s v="Yes"/>
    <n v="189.64"/>
    <n v="110.03"/>
    <n v="17"/>
  </r>
  <r>
    <x v="26"/>
    <x v="3"/>
    <s v="Ubisoft"/>
    <x v="15"/>
    <x v="15"/>
    <x v="4"/>
    <x v="1"/>
    <s v="Dunia"/>
    <s v="Mature"/>
    <n v="96"/>
    <n v="8.42"/>
    <n v="61.1"/>
    <s v="No"/>
    <n v="84.25"/>
    <n v="50.38"/>
    <n v="6"/>
  </r>
  <r>
    <x v="56"/>
    <x v="8"/>
    <s v="Nintendo"/>
    <x v="5"/>
    <x v="5"/>
    <x v="0"/>
    <x v="8"/>
    <s v="Havok/Custom"/>
    <s v="E10+"/>
    <n v="96"/>
    <n v="10.79"/>
    <n v="249.29"/>
    <s v="No"/>
    <n v="182.93"/>
    <n v="84.82"/>
    <n v="14"/>
  </r>
  <r>
    <x v="1"/>
    <x v="0"/>
    <s v="Rockstar Games"/>
    <x v="1"/>
    <x v="1"/>
    <x v="0"/>
    <x v="5"/>
    <s v="RAGE"/>
    <s v="Mature"/>
    <n v="87"/>
    <n v="6.88"/>
    <n v="134"/>
    <s v="No"/>
    <n v="52.74"/>
    <n v="37.11"/>
    <n v="9"/>
  </r>
  <r>
    <x v="58"/>
    <x v="32"/>
    <s v="Deep Silver"/>
    <x v="2"/>
    <x v="2"/>
    <x v="1"/>
    <x v="1"/>
    <s v="CryEngine"/>
    <s v="Mature"/>
    <n v="61"/>
    <n v="0.85"/>
    <n v="211.26"/>
    <s v="Yes"/>
    <n v="24.72"/>
    <n v="13.22"/>
    <n v="17"/>
  </r>
  <r>
    <x v="55"/>
    <x v="31"/>
    <s v="Annapurna Interactive"/>
    <x v="12"/>
    <x v="12"/>
    <x v="3"/>
    <x v="6"/>
    <s v="Custom"/>
    <s v="E"/>
    <n v="82"/>
    <n v="7.8"/>
    <n v="229.27"/>
    <s v="Yes"/>
    <n v="65.5"/>
    <n v="46.03"/>
    <n v="13"/>
  </r>
  <r>
    <x v="20"/>
    <x v="12"/>
    <s v="Mojang (Microsoft)"/>
    <x v="7"/>
    <x v="7"/>
    <x v="2"/>
    <x v="5"/>
    <s v="Custom"/>
    <s v="Everyone"/>
    <n v="88"/>
    <n v="66.36"/>
    <n v="110.53"/>
    <s v="Yes"/>
    <n v="144.13999999999999"/>
    <n v="192.74"/>
    <n v="11"/>
  </r>
  <r>
    <x v="54"/>
    <x v="30"/>
    <s v="Raw Fury"/>
    <x v="16"/>
    <x v="16"/>
    <x v="3"/>
    <x v="4"/>
    <s v="Unity"/>
    <s v="E"/>
    <n v="83"/>
    <n v="1.2"/>
    <n v="224.88"/>
    <s v="Yes"/>
    <n v="71.97"/>
    <n v="34.130000000000003"/>
    <n v="16"/>
  </r>
  <r>
    <x v="48"/>
    <x v="26"/>
    <s v="Bandai Namco"/>
    <x v="13"/>
    <x v="13"/>
    <x v="9"/>
    <x v="1"/>
    <s v="FromEngine"/>
    <s v="Mature"/>
    <n v="86"/>
    <n v="10.99"/>
    <n v="23.85"/>
    <s v="Yes"/>
    <n v="108.44"/>
    <n v="64.33"/>
    <n v="14"/>
  </r>
  <r>
    <x v="34"/>
    <x v="18"/>
    <s v="Sega"/>
    <x v="3"/>
    <x v="3"/>
    <x v="0"/>
    <x v="5"/>
    <s v="Dragon Engine"/>
    <s v="Mature"/>
    <n v="74"/>
    <n v="7.53"/>
    <n v="103.28"/>
    <s v="No"/>
    <n v="67.040000000000006"/>
    <n v="48.89"/>
    <n v="11"/>
  </r>
  <r>
    <x v="46"/>
    <x v="25"/>
    <s v="Frontier Developments"/>
    <x v="15"/>
    <x v="15"/>
    <x v="8"/>
    <x v="1"/>
    <s v="COBRA/Custom"/>
    <s v="Teen"/>
    <n v="82"/>
    <n v="8.19"/>
    <n v="95.85"/>
    <s v="Yes"/>
    <n v="121.49"/>
    <n v="75.599999999999994"/>
    <n v="15"/>
  </r>
  <r>
    <x v="26"/>
    <x v="3"/>
    <s v="Ubisoft"/>
    <x v="15"/>
    <x v="15"/>
    <x v="4"/>
    <x v="4"/>
    <s v="Dunia"/>
    <s v="Mature"/>
    <n v="78"/>
    <n v="21.49"/>
    <n v="133.19999999999999"/>
    <s v="No"/>
    <n v="87.97"/>
    <n v="156.27000000000001"/>
    <n v="11"/>
  </r>
  <r>
    <x v="42"/>
    <x v="23"/>
    <s v="Xbox Game Studios"/>
    <x v="2"/>
    <x v="2"/>
    <x v="6"/>
    <x v="4"/>
    <s v="Proprietary"/>
    <s v="Mature"/>
    <n v="82"/>
    <n v="2.19"/>
    <n v="111.73"/>
    <s v="Yes"/>
    <n v="51.04"/>
    <n v="23.53"/>
    <n v="11"/>
  </r>
  <r>
    <x v="22"/>
    <x v="7"/>
    <s v="Private Division"/>
    <x v="12"/>
    <x v="12"/>
    <x v="1"/>
    <x v="4"/>
    <s v="Unreal Engine"/>
    <s v="Mature"/>
    <n v="99"/>
    <n v="1.51"/>
    <n v="155.94"/>
    <s v="Yes"/>
    <n v="10.26"/>
    <n v="6.74"/>
    <n v="19"/>
  </r>
  <r>
    <x v="55"/>
    <x v="31"/>
    <s v="Annapurna Interactive"/>
    <x v="12"/>
    <x v="12"/>
    <x v="3"/>
    <x v="6"/>
    <s v="Custom"/>
    <s v="E"/>
    <n v="79"/>
    <n v="6.72"/>
    <n v="229.27"/>
    <s v="Yes"/>
    <n v="65.5"/>
    <n v="42.71"/>
    <n v="12"/>
  </r>
  <r>
    <x v="54"/>
    <x v="30"/>
    <s v="Raw Fury"/>
    <x v="16"/>
    <x v="16"/>
    <x v="3"/>
    <x v="1"/>
    <s v="Unity"/>
    <s v="E"/>
    <n v="87"/>
    <n v="6.45"/>
    <n v="96.74"/>
    <s v="Yes"/>
    <n v="118.16"/>
    <n v="55.37"/>
    <n v="0"/>
  </r>
  <r>
    <x v="26"/>
    <x v="3"/>
    <s v="Ubisoft"/>
    <x v="15"/>
    <x v="15"/>
    <x v="4"/>
    <x v="4"/>
    <s v="Dunia"/>
    <s v="Mature"/>
    <n v="76"/>
    <n v="20.67"/>
    <n v="133.19999999999999"/>
    <s v="No"/>
    <n v="87.97"/>
    <n v="164.35"/>
    <n v="10"/>
  </r>
  <r>
    <x v="13"/>
    <x v="8"/>
    <s v="Nintendo"/>
    <x v="5"/>
    <x v="5"/>
    <x v="0"/>
    <x v="8"/>
    <s v="Havok/Custom"/>
    <s v="E10+"/>
    <n v="90"/>
    <n v="3.14"/>
    <n v="232.77"/>
    <s v="Yes"/>
    <n v="161.44"/>
    <n v="86.07"/>
    <n v="8"/>
  </r>
  <r>
    <x v="6"/>
    <x v="4"/>
    <s v="Ubisoft"/>
    <x v="2"/>
    <x v="2"/>
    <x v="1"/>
    <x v="5"/>
    <s v="AnvilNext"/>
    <s v="Mature"/>
    <n v="73"/>
    <n v="21.75"/>
    <n v="70.36"/>
    <s v="Yes"/>
    <n v="53.71"/>
    <n v="223.59"/>
    <n v="14"/>
  </r>
  <r>
    <x v="60"/>
    <x v="34"/>
    <s v="Focus Home Interactive"/>
    <x v="12"/>
    <x v="12"/>
    <x v="1"/>
    <x v="5"/>
    <s v="Silk Engine"/>
    <s v="Mature"/>
    <n v="70"/>
    <n v="1.05"/>
    <n v="40.92"/>
    <s v="Yes"/>
    <n v="92.62"/>
    <n v="51.75"/>
    <n v="14"/>
  </r>
  <r>
    <x v="34"/>
    <x v="18"/>
    <s v="Sega"/>
    <x v="3"/>
    <x v="3"/>
    <x v="0"/>
    <x v="5"/>
    <s v="Dragon Engine"/>
    <s v="Mature"/>
    <n v="74"/>
    <n v="9.0500000000000007"/>
    <n v="103.28"/>
    <s v="No"/>
    <n v="67.040000000000006"/>
    <n v="49.81"/>
    <n v="11"/>
  </r>
  <r>
    <x v="20"/>
    <x v="12"/>
    <s v="Mojang (Microsoft)"/>
    <x v="7"/>
    <x v="7"/>
    <x v="2"/>
    <x v="5"/>
    <s v="Custom"/>
    <s v="Everyone"/>
    <n v="84"/>
    <n v="54.92"/>
    <n v="110.53"/>
    <s v="Yes"/>
    <n v="144.13999999999999"/>
    <n v="180.78"/>
    <n v="9"/>
  </r>
  <r>
    <x v="24"/>
    <x v="14"/>
    <s v="Ubisoft"/>
    <x v="4"/>
    <x v="4"/>
    <x v="0"/>
    <x v="2"/>
    <s v="Disrupt"/>
    <s v="Mature"/>
    <n v="90"/>
    <n v="3.14"/>
    <n v="169.66"/>
    <s v="No"/>
    <n v="191.84"/>
    <n v="94.95"/>
    <n v="5"/>
  </r>
  <r>
    <x v="52"/>
    <x v="28"/>
    <s v="Electronic Arts"/>
    <x v="2"/>
    <x v="2"/>
    <x v="10"/>
    <x v="1"/>
    <s v="Burnout Engine"/>
    <s v="E"/>
    <n v="82"/>
    <n v="4.8"/>
    <n v="20.58"/>
    <s v="Yes"/>
    <n v="174.75"/>
    <n v="97.54"/>
    <n v="7"/>
  </r>
  <r>
    <x v="19"/>
    <x v="11"/>
    <s v="Sony Interactive Entertainment"/>
    <x v="12"/>
    <x v="12"/>
    <x v="0"/>
    <x v="1"/>
    <s v="Decima/RE Engine"/>
    <s v="Mature"/>
    <n v="75"/>
    <n v="5.81"/>
    <n v="192.35"/>
    <s v="No"/>
    <n v="93.81"/>
    <n v="69.81"/>
    <n v="18"/>
  </r>
  <r>
    <x v="0"/>
    <x v="0"/>
    <s v="Rockstar Games"/>
    <x v="0"/>
    <x v="0"/>
    <x v="0"/>
    <x v="3"/>
    <s v="RAGE"/>
    <s v="Mature"/>
    <n v="66"/>
    <n v="142.6"/>
    <n v="85.72"/>
    <s v="Yes"/>
    <n v="35.32"/>
    <n v="1489.6"/>
    <n v="10"/>
  </r>
  <r>
    <x v="66"/>
    <x v="38"/>
    <s v="Rockstar Games"/>
    <x v="8"/>
    <x v="8"/>
    <x v="0"/>
    <x v="0"/>
    <s v="RAGE"/>
    <s v="Mature"/>
    <n v="83"/>
    <n v="1.96"/>
    <n v="34.58"/>
    <s v="Yes"/>
    <n v="144.63"/>
    <n v="82.94"/>
    <n v="2"/>
  </r>
  <r>
    <x v="19"/>
    <x v="11"/>
    <s v="Sony Interactive Entertainment"/>
    <x v="12"/>
    <x v="12"/>
    <x v="0"/>
    <x v="1"/>
    <s v="Decima/RE Engine"/>
    <s v="Mature"/>
    <n v="72"/>
    <n v="6"/>
    <n v="192.35"/>
    <s v="No"/>
    <n v="93.81"/>
    <n v="80.959999999999994"/>
    <n v="19"/>
  </r>
  <r>
    <x v="28"/>
    <x v="14"/>
    <s v="Ubisoft"/>
    <x v="16"/>
    <x v="16"/>
    <x v="4"/>
    <x v="4"/>
    <s v="Dunia"/>
    <s v="Mature"/>
    <n v="75"/>
    <n v="6.46"/>
    <n v="191.35"/>
    <s v="No"/>
    <n v="123.23"/>
    <n v="73.290000000000006"/>
    <n v="7"/>
  </r>
  <r>
    <x v="41"/>
    <x v="22"/>
    <s v="Deep Silver"/>
    <x v="12"/>
    <x v="12"/>
    <x v="7"/>
    <x v="7"/>
    <s v="4A Engine"/>
    <s v="Mature"/>
    <n v="71"/>
    <n v="1.17"/>
    <n v="221.93"/>
    <s v="No"/>
    <n v="31.45"/>
    <n v="16.46"/>
    <n v="18"/>
  </r>
  <r>
    <x v="47"/>
    <x v="26"/>
    <s v="Bandai Namco"/>
    <x v="6"/>
    <x v="6"/>
    <x v="9"/>
    <x v="1"/>
    <s v="FromEngine"/>
    <s v="Mature"/>
    <n v="93"/>
    <n v="181.61"/>
    <n v="217.15"/>
    <s v="No"/>
    <n v="145.61000000000001"/>
    <n v="1738.79"/>
    <n v="20"/>
  </r>
  <r>
    <x v="52"/>
    <x v="28"/>
    <s v="Electronic Arts"/>
    <x v="2"/>
    <x v="2"/>
    <x v="10"/>
    <x v="5"/>
    <s v="Burnout Engine"/>
    <s v="E"/>
    <n v="83"/>
    <n v="11.31"/>
    <n v="161.72"/>
    <s v="Yes"/>
    <n v="33.799999999999997"/>
    <n v="17.72"/>
    <n v="9"/>
  </r>
  <r>
    <x v="26"/>
    <x v="3"/>
    <s v="Ubisoft"/>
    <x v="15"/>
    <x v="15"/>
    <x v="4"/>
    <x v="0"/>
    <s v="Dunia"/>
    <s v="Mature"/>
    <n v="81"/>
    <n v="36.53"/>
    <n v="85.74"/>
    <s v="Yes"/>
    <n v="176.66"/>
    <n v="214.56"/>
    <n v="9"/>
  </r>
  <r>
    <x v="20"/>
    <x v="12"/>
    <s v="Mojang (Microsoft)"/>
    <x v="7"/>
    <x v="7"/>
    <x v="2"/>
    <x v="6"/>
    <s v="Custom"/>
    <s v="Everyone"/>
    <n v="85"/>
    <n v="68.12"/>
    <n v="62.56"/>
    <s v="Yes"/>
    <n v="129.34"/>
    <n v="630.99"/>
    <n v="16"/>
  </r>
  <r>
    <x v="8"/>
    <x v="5"/>
    <s v="Sony Interactive Entertainment"/>
    <x v="5"/>
    <x v="5"/>
    <x v="1"/>
    <x v="5"/>
    <s v="Decima"/>
    <s v="Teen"/>
    <n v="88"/>
    <n v="3.69"/>
    <n v="13.49"/>
    <s v="Yes"/>
    <n v="97.97"/>
    <n v="55.76"/>
    <n v="17"/>
  </r>
  <r>
    <x v="51"/>
    <x v="27"/>
    <s v="Microsoft Studios"/>
    <x v="16"/>
    <x v="16"/>
    <x v="10"/>
    <x v="5"/>
    <s v="ForzaTech"/>
    <s v="E"/>
    <n v="80"/>
    <n v="9.48"/>
    <n v="230.02"/>
    <s v="Yes"/>
    <n v="22.19"/>
    <n v="71.39"/>
    <n v="8"/>
  </r>
  <r>
    <x v="22"/>
    <x v="7"/>
    <s v="Private Division"/>
    <x v="12"/>
    <x v="12"/>
    <x v="1"/>
    <x v="4"/>
    <s v="Unreal Engine"/>
    <s v="Mature"/>
    <n v="100"/>
    <n v="1.4"/>
    <n v="155.94"/>
    <s v="Yes"/>
    <n v="10.26"/>
    <n v="6.26"/>
    <n v="18"/>
  </r>
  <r>
    <x v="6"/>
    <x v="4"/>
    <s v="Ubisoft"/>
    <x v="2"/>
    <x v="2"/>
    <x v="1"/>
    <x v="5"/>
    <s v="AnvilNext"/>
    <s v="Mature"/>
    <n v="70"/>
    <n v="23.44"/>
    <n v="70.36"/>
    <s v="Yes"/>
    <n v="53.71"/>
    <n v="233.44"/>
    <n v="15"/>
  </r>
  <r>
    <x v="61"/>
    <x v="35"/>
    <s v="THQ Nordic"/>
    <x v="16"/>
    <x v="16"/>
    <x v="1"/>
    <x v="4"/>
    <s v="Unreal Engine"/>
    <s v="Teen"/>
    <n v="94"/>
    <n v="0.98"/>
    <n v="178.96"/>
    <s v="Yes"/>
    <n v="70.38"/>
    <n v="41.89"/>
    <n v="2"/>
  </r>
  <r>
    <x v="55"/>
    <x v="31"/>
    <s v="Annapurna Interactive"/>
    <x v="12"/>
    <x v="12"/>
    <x v="3"/>
    <x v="6"/>
    <s v="Custom"/>
    <s v="E"/>
    <n v="80"/>
    <n v="7.25"/>
    <n v="229.27"/>
    <s v="Yes"/>
    <n v="65.5"/>
    <n v="50.16"/>
    <n v="11"/>
  </r>
  <r>
    <x v="25"/>
    <x v="3"/>
    <s v="Ubisoft"/>
    <x v="14"/>
    <x v="14"/>
    <x v="4"/>
    <x v="5"/>
    <s v="Dunia"/>
    <s v="Mature"/>
    <n v="71"/>
    <n v="30.5"/>
    <n v="167.38"/>
    <s v="No"/>
    <n v="70.599999999999994"/>
    <n v="137.13999999999999"/>
    <n v="10"/>
  </r>
  <r>
    <x v="46"/>
    <x v="25"/>
    <s v="Frontier Developments"/>
    <x v="15"/>
    <x v="15"/>
    <x v="8"/>
    <x v="1"/>
    <s v="COBRA/Custom"/>
    <s v="Teen"/>
    <n v="83"/>
    <n v="9.9700000000000006"/>
    <n v="95.85"/>
    <s v="Yes"/>
    <n v="121.49"/>
    <n v="61.04"/>
    <n v="17"/>
  </r>
  <r>
    <x v="58"/>
    <x v="32"/>
    <s v="Deep Silver"/>
    <x v="2"/>
    <x v="2"/>
    <x v="1"/>
    <x v="4"/>
    <s v="CryEngine"/>
    <s v="Mature"/>
    <n v="86"/>
    <n v="3.43"/>
    <n v="191.81"/>
    <s v="Yes"/>
    <n v="30.55"/>
    <n v="17.399999999999999"/>
    <n v="4"/>
  </r>
  <r>
    <x v="0"/>
    <x v="0"/>
    <s v="Rockstar Games"/>
    <x v="0"/>
    <x v="0"/>
    <x v="0"/>
    <x v="5"/>
    <s v="RAGE"/>
    <s v="Mature"/>
    <n v="95"/>
    <n v="80.09"/>
    <n v="138.46"/>
    <s v="Yes"/>
    <n v="166.73"/>
    <n v="566.55999999999995"/>
    <n v="12"/>
  </r>
  <r>
    <x v="19"/>
    <x v="11"/>
    <s v="Sony Interactive Entertainment"/>
    <x v="12"/>
    <x v="12"/>
    <x v="0"/>
    <x v="1"/>
    <s v="Decima/RE Engine"/>
    <s v="Mature"/>
    <n v="76"/>
    <n v="6.93"/>
    <n v="192.35"/>
    <s v="No"/>
    <n v="93.81"/>
    <n v="60.72"/>
    <n v="18"/>
  </r>
  <r>
    <x v="56"/>
    <x v="8"/>
    <s v="Nintendo"/>
    <x v="5"/>
    <x v="5"/>
    <x v="0"/>
    <x v="6"/>
    <s v="Havok/Custom"/>
    <s v="E10+"/>
    <n v="81"/>
    <n v="8.06"/>
    <n v="22.1"/>
    <s v="No"/>
    <n v="113.99"/>
    <n v="61.35"/>
    <n v="11"/>
  </r>
  <r>
    <x v="22"/>
    <x v="7"/>
    <s v="Private Division"/>
    <x v="12"/>
    <x v="12"/>
    <x v="1"/>
    <x v="1"/>
    <s v="Unreal Engine"/>
    <s v="Mature"/>
    <n v="81"/>
    <n v="0.47"/>
    <n v="84.7"/>
    <s v="Yes"/>
    <n v="137.43"/>
    <n v="71.8"/>
    <n v="5"/>
  </r>
  <r>
    <x v="61"/>
    <x v="35"/>
    <s v="THQ Nordic"/>
    <x v="16"/>
    <x v="16"/>
    <x v="1"/>
    <x v="1"/>
    <s v="Unreal Engine"/>
    <s v="Teen"/>
    <n v="87"/>
    <n v="8.52"/>
    <n v="204.36"/>
    <s v="Yes"/>
    <n v="177.5"/>
    <n v="104.92"/>
    <n v="12"/>
  </r>
  <r>
    <x v="49"/>
    <x v="26"/>
    <s v="Activision"/>
    <x v="12"/>
    <x v="12"/>
    <x v="0"/>
    <x v="4"/>
    <s v="FromEngine"/>
    <s v="Mature"/>
    <n v="71"/>
    <n v="0.55000000000000004"/>
    <n v="99.42"/>
    <s v="No"/>
    <n v="121.87"/>
    <n v="69.180000000000007"/>
    <n v="10"/>
  </r>
  <r>
    <x v="7"/>
    <x v="3"/>
    <s v="Ubisoft"/>
    <x v="5"/>
    <x v="5"/>
    <x v="1"/>
    <x v="1"/>
    <s v="AnvilNext"/>
    <s v="Mature"/>
    <n v="62"/>
    <n v="4.72"/>
    <n v="249.82"/>
    <s v="Yes"/>
    <n v="168.03"/>
    <n v="89.75"/>
    <n v="9"/>
  </r>
  <r>
    <x v="20"/>
    <x v="12"/>
    <s v="Mojang (Microsoft)"/>
    <x v="7"/>
    <x v="7"/>
    <x v="2"/>
    <x v="1"/>
    <s v="Custom"/>
    <s v="Everyone"/>
    <n v="85"/>
    <n v="116.45"/>
    <n v="246.99"/>
    <s v="Yes"/>
    <n v="121.11"/>
    <n v="1226.3499999999999"/>
    <n v="15"/>
  </r>
  <r>
    <x v="16"/>
    <x v="0"/>
    <s v="Rockstar Games"/>
    <x v="11"/>
    <x v="11"/>
    <x v="0"/>
    <x v="10"/>
    <s v="RAGE"/>
    <s v="Mature"/>
    <n v="75"/>
    <n v="2.38"/>
    <n v="231.47"/>
    <s v="No"/>
    <n v="110"/>
    <n v="60.19"/>
    <n v="7"/>
  </r>
  <r>
    <x v="48"/>
    <x v="26"/>
    <s v="Bandai Namco"/>
    <x v="13"/>
    <x v="13"/>
    <x v="9"/>
    <x v="1"/>
    <s v="FromEngine"/>
    <s v="Mature"/>
    <n v="84"/>
    <n v="12.96"/>
    <n v="23.85"/>
    <s v="Yes"/>
    <n v="108.44"/>
    <n v="72.19"/>
    <n v="15"/>
  </r>
  <r>
    <x v="25"/>
    <x v="3"/>
    <s v="Ubisoft"/>
    <x v="14"/>
    <x v="14"/>
    <x v="4"/>
    <x v="0"/>
    <s v="Dunia"/>
    <s v="Mature"/>
    <n v="91"/>
    <n v="20.7"/>
    <n v="162.96"/>
    <s v="No"/>
    <n v="125.1"/>
    <n v="216.27"/>
    <n v="15"/>
  </r>
  <r>
    <x v="33"/>
    <x v="11"/>
    <s v="Konami"/>
    <x v="3"/>
    <x v="3"/>
    <x v="0"/>
    <x v="1"/>
    <s v="Fox Engine"/>
    <s v="Mature"/>
    <n v="92"/>
    <n v="1.71"/>
    <n v="138.16"/>
    <s v="No"/>
    <n v="112.69"/>
    <n v="53.82"/>
    <n v="4"/>
  </r>
  <r>
    <x v="20"/>
    <x v="12"/>
    <s v="Mojang (Microsoft)"/>
    <x v="7"/>
    <x v="7"/>
    <x v="2"/>
    <x v="1"/>
    <s v="Custom"/>
    <s v="Everyone"/>
    <n v="82"/>
    <n v="175.7"/>
    <n v="246.99"/>
    <s v="Yes"/>
    <n v="121.11"/>
    <n v="1887.16"/>
    <n v="12"/>
  </r>
  <r>
    <x v="24"/>
    <x v="14"/>
    <s v="Ubisoft"/>
    <x v="4"/>
    <x v="4"/>
    <x v="0"/>
    <x v="4"/>
    <s v="Disrupt"/>
    <s v="Mature"/>
    <n v="86"/>
    <n v="6.81"/>
    <n v="26.37"/>
    <s v="No"/>
    <n v="155.63"/>
    <n v="73.58"/>
    <n v="19"/>
  </r>
  <r>
    <x v="29"/>
    <x v="15"/>
    <s v="Square Enix"/>
    <x v="3"/>
    <x v="3"/>
    <x v="0"/>
    <x v="1"/>
    <s v="Avalanche Engine"/>
    <s v="Mature"/>
    <n v="76"/>
    <n v="0.95"/>
    <n v="1.67"/>
    <s v="Yes"/>
    <n v="92.85"/>
    <n v="53.04"/>
    <n v="8"/>
  </r>
  <r>
    <x v="32"/>
    <x v="17"/>
    <s v="2K Games"/>
    <x v="13"/>
    <x v="13"/>
    <x v="0"/>
    <x v="5"/>
    <s v="Proprietary"/>
    <s v="Mature"/>
    <n v="79"/>
    <n v="3.84"/>
    <n v="189.35"/>
    <s v="No"/>
    <n v="126.95"/>
    <n v="70.33"/>
    <n v="7"/>
  </r>
  <r>
    <x v="21"/>
    <x v="13"/>
    <s v="Hello Games"/>
    <x v="13"/>
    <x v="13"/>
    <x v="3"/>
    <x v="2"/>
    <s v="Custom"/>
    <s v="Everyone"/>
    <n v="69"/>
    <n v="4.4800000000000004"/>
    <n v="166.61"/>
    <s v="Yes"/>
    <n v="77.989999999999995"/>
    <n v="38.159999999999997"/>
    <n v="15"/>
  </r>
  <r>
    <x v="7"/>
    <x v="3"/>
    <s v="Ubisoft"/>
    <x v="5"/>
    <x v="5"/>
    <x v="1"/>
    <x v="1"/>
    <s v="AnvilNext"/>
    <s v="Mature"/>
    <n v="65"/>
    <n v="4.32"/>
    <n v="249.82"/>
    <s v="Yes"/>
    <n v="168.03"/>
    <n v="95.7"/>
    <n v="8"/>
  </r>
  <r>
    <x v="20"/>
    <x v="12"/>
    <s v="Mojang (Microsoft)"/>
    <x v="7"/>
    <x v="7"/>
    <x v="2"/>
    <x v="6"/>
    <s v="Custom"/>
    <s v="Everyone"/>
    <n v="79"/>
    <n v="57.26"/>
    <n v="62.56"/>
    <s v="Yes"/>
    <n v="129.34"/>
    <n v="538.13"/>
    <n v="18"/>
  </r>
  <r>
    <x v="24"/>
    <x v="14"/>
    <s v="Ubisoft"/>
    <x v="4"/>
    <x v="4"/>
    <x v="0"/>
    <x v="5"/>
    <s v="Disrupt"/>
    <s v="Mature"/>
    <n v="92"/>
    <n v="4.6900000000000004"/>
    <n v="123.06"/>
    <s v="No"/>
    <n v="89.54"/>
    <n v="51.05"/>
    <n v="15"/>
  </r>
  <r>
    <x v="19"/>
    <x v="11"/>
    <s v="Sony Interactive Entertainment"/>
    <x v="12"/>
    <x v="12"/>
    <x v="0"/>
    <x v="2"/>
    <s v="Decima/RE Engine"/>
    <s v="Mature"/>
    <n v="77"/>
    <n v="5.92"/>
    <n v="61.75"/>
    <s v="Yes"/>
    <n v="132.93"/>
    <n v="77.849999999999994"/>
    <n v="3"/>
  </r>
  <r>
    <x v="44"/>
    <x v="24"/>
    <s v="Capcom"/>
    <x v="14"/>
    <x v="14"/>
    <x v="1"/>
    <x v="0"/>
    <s v="Proprietary"/>
    <s v="Mature"/>
    <n v="94"/>
    <n v="9.4"/>
    <n v="246.89"/>
    <s v="Yes"/>
    <n v="110.34"/>
    <n v="89.26"/>
    <n v="4"/>
  </r>
  <r>
    <x v="55"/>
    <x v="31"/>
    <s v="Annapurna Interactive"/>
    <x v="12"/>
    <x v="12"/>
    <x v="3"/>
    <x v="5"/>
    <s v="Custom"/>
    <s v="E"/>
    <n v="69"/>
    <n v="7.83"/>
    <n v="164.48"/>
    <s v="Yes"/>
    <n v="181.74"/>
    <n v="97.45"/>
    <n v="10"/>
  </r>
  <r>
    <x v="26"/>
    <x v="3"/>
    <s v="Ubisoft"/>
    <x v="15"/>
    <x v="15"/>
    <x v="4"/>
    <x v="4"/>
    <s v="Dunia"/>
    <s v="Mature"/>
    <n v="76"/>
    <n v="21.79"/>
    <n v="133.19999999999999"/>
    <s v="No"/>
    <n v="87.97"/>
    <n v="170.76"/>
    <n v="11"/>
  </r>
  <r>
    <x v="24"/>
    <x v="14"/>
    <s v="Ubisoft"/>
    <x v="4"/>
    <x v="4"/>
    <x v="0"/>
    <x v="5"/>
    <s v="Disrupt"/>
    <s v="Mature"/>
    <n v="90"/>
    <n v="4.05"/>
    <n v="123.06"/>
    <s v="No"/>
    <n v="89.54"/>
    <n v="44.17"/>
    <n v="13"/>
  </r>
  <r>
    <x v="45"/>
    <x v="24"/>
    <s v="Capcom"/>
    <x v="18"/>
    <x v="18"/>
    <x v="1"/>
    <x v="5"/>
    <s v="Capcom Engine"/>
    <s v="Mature"/>
    <n v="79"/>
    <n v="8.7899999999999991"/>
    <n v="107.14"/>
    <s v="Yes"/>
    <n v="26.05"/>
    <n v="57.64"/>
    <n v="14"/>
  </r>
  <r>
    <x v="0"/>
    <x v="0"/>
    <s v="Rockstar Games"/>
    <x v="0"/>
    <x v="0"/>
    <x v="0"/>
    <x v="4"/>
    <s v="RAGE"/>
    <s v="Mature"/>
    <n v="71"/>
    <n v="73.59"/>
    <n v="86.64"/>
    <s v="Yes"/>
    <n v="56.58"/>
    <n v="124.52"/>
    <n v="15"/>
  </r>
  <r>
    <x v="26"/>
    <x v="3"/>
    <s v="Ubisoft"/>
    <x v="15"/>
    <x v="15"/>
    <x v="4"/>
    <x v="1"/>
    <s v="Dunia"/>
    <s v="Mature"/>
    <n v="100"/>
    <n v="11.55"/>
    <n v="61.1"/>
    <s v="No"/>
    <n v="84.25"/>
    <n v="63.21"/>
    <n v="6"/>
  </r>
  <r>
    <x v="25"/>
    <x v="3"/>
    <s v="Ubisoft"/>
    <x v="14"/>
    <x v="14"/>
    <x v="4"/>
    <x v="0"/>
    <s v="Dunia"/>
    <s v="Mature"/>
    <n v="95"/>
    <n v="24.89"/>
    <n v="162.96"/>
    <s v="No"/>
    <n v="125.1"/>
    <n v="205.27"/>
    <n v="15"/>
  </r>
  <r>
    <x v="3"/>
    <x v="2"/>
    <s v="CD Projekt"/>
    <x v="3"/>
    <x v="3"/>
    <x v="1"/>
    <x v="4"/>
    <s v="REDengine"/>
    <s v="Mature"/>
    <n v="87"/>
    <n v="35.840000000000003"/>
    <n v="221.31"/>
    <s v="Yes"/>
    <n v="151.41999999999999"/>
    <n v="248.35"/>
    <n v="10"/>
  </r>
  <r>
    <x v="32"/>
    <x v="17"/>
    <s v="2K Games"/>
    <x v="13"/>
    <x v="13"/>
    <x v="0"/>
    <x v="4"/>
    <s v="Proprietary"/>
    <s v="Mature"/>
    <n v="79"/>
    <n v="8.5399999999999991"/>
    <n v="206.41"/>
    <s v="Yes"/>
    <n v="5.22"/>
    <n v="86.68"/>
    <n v="15"/>
  </r>
  <r>
    <x v="31"/>
    <x v="16"/>
    <s v="THQ"/>
    <x v="7"/>
    <x v="7"/>
    <x v="0"/>
    <x v="5"/>
    <s v="Proprietary"/>
    <s v="Mature"/>
    <n v="79"/>
    <n v="3.5"/>
    <n v="27.05"/>
    <s v="No"/>
    <n v="36.36"/>
    <n v="18.93"/>
    <n v="15"/>
  </r>
  <r>
    <x v="15"/>
    <x v="0"/>
    <s v="Rockstar Games"/>
    <x v="10"/>
    <x v="10"/>
    <x v="0"/>
    <x v="5"/>
    <s v="RAGE"/>
    <s v="Mature"/>
    <n v="70"/>
    <n v="9.26"/>
    <n v="240.67"/>
    <s v="No"/>
    <n v="56.77"/>
    <n v="34.380000000000003"/>
    <n v="14"/>
  </r>
  <r>
    <x v="47"/>
    <x v="26"/>
    <s v="Bandai Namco"/>
    <x v="6"/>
    <x v="6"/>
    <x v="9"/>
    <x v="5"/>
    <s v="FromEngine"/>
    <s v="Mature"/>
    <n v="76"/>
    <n v="250.39"/>
    <n v="88.4"/>
    <s v="Yes"/>
    <n v="40.369999999999997"/>
    <n v="470.32"/>
    <n v="10"/>
  </r>
  <r>
    <x v="50"/>
    <x v="27"/>
    <s v="Microsoft Studios"/>
    <x v="2"/>
    <x v="2"/>
    <x v="10"/>
    <x v="4"/>
    <s v="ForzaTech"/>
    <s v="E"/>
    <n v="77"/>
    <n v="2.61"/>
    <n v="140.12"/>
    <s v="Yes"/>
    <n v="135.27000000000001"/>
    <n v="66.010000000000005"/>
    <n v="14"/>
  </r>
  <r>
    <x v="11"/>
    <x v="6"/>
    <s v="Bethesda Softworks"/>
    <x v="3"/>
    <x v="3"/>
    <x v="1"/>
    <x v="5"/>
    <s v="Creation Engine"/>
    <s v="Mature"/>
    <n v="68"/>
    <n v="9.2200000000000006"/>
    <n v="138.37"/>
    <s v="Yes"/>
    <n v="88.4"/>
    <n v="52.71"/>
    <n v="3"/>
  </r>
  <r>
    <x v="37"/>
    <x v="20"/>
    <s v="Unknown Worlds"/>
    <x v="2"/>
    <x v="2"/>
    <x v="6"/>
    <x v="4"/>
    <s v="Unity"/>
    <s v="Teen"/>
    <n v="90"/>
    <n v="6.38"/>
    <n v="19.39"/>
    <s v="Yes"/>
    <n v="189.32"/>
    <n v="87.66"/>
    <n v="8"/>
  </r>
  <r>
    <x v="53"/>
    <x v="29"/>
    <s v="Ubisoft"/>
    <x v="2"/>
    <x v="2"/>
    <x v="10"/>
    <x v="1"/>
    <s v="Dunia"/>
    <s v="E"/>
    <n v="91"/>
    <n v="7.77"/>
    <n v="190.21"/>
    <s v="Yes"/>
    <n v="92.54"/>
    <n v="87.06"/>
    <n v="19"/>
  </r>
  <r>
    <x v="32"/>
    <x v="17"/>
    <s v="2K Games"/>
    <x v="13"/>
    <x v="13"/>
    <x v="0"/>
    <x v="1"/>
    <s v="Proprietary"/>
    <s v="Mature"/>
    <n v="75"/>
    <n v="8.5"/>
    <n v="137.97"/>
    <s v="No"/>
    <n v="93.69"/>
    <n v="46.01"/>
    <n v="10"/>
  </r>
  <r>
    <x v="24"/>
    <x v="14"/>
    <s v="Ubisoft"/>
    <x v="4"/>
    <x v="4"/>
    <x v="0"/>
    <x v="1"/>
    <s v="Disrupt"/>
    <s v="Mature"/>
    <n v="81"/>
    <n v="9.08"/>
    <n v="179.87"/>
    <s v="No"/>
    <n v="156.66999999999999"/>
    <n v="75.349999999999994"/>
    <n v="8"/>
  </r>
  <r>
    <x v="26"/>
    <x v="3"/>
    <s v="Ubisoft"/>
    <x v="15"/>
    <x v="15"/>
    <x v="4"/>
    <x v="4"/>
    <s v="Dunia"/>
    <s v="Mature"/>
    <n v="75"/>
    <n v="23.02"/>
    <n v="133.19999999999999"/>
    <s v="No"/>
    <n v="87.97"/>
    <n v="165.6"/>
    <n v="12"/>
  </r>
  <r>
    <x v="61"/>
    <x v="35"/>
    <s v="THQ Nordic"/>
    <x v="16"/>
    <x v="16"/>
    <x v="1"/>
    <x v="4"/>
    <s v="Unreal Engine"/>
    <s v="Teen"/>
    <n v="89"/>
    <n v="1.28"/>
    <n v="178.96"/>
    <s v="Yes"/>
    <n v="70.38"/>
    <n v="45.78"/>
    <n v="1"/>
  </r>
  <r>
    <x v="15"/>
    <x v="0"/>
    <s v="Rockstar Games"/>
    <x v="10"/>
    <x v="10"/>
    <x v="0"/>
    <x v="5"/>
    <s v="RAGE"/>
    <s v="Mature"/>
    <n v="72"/>
    <n v="11.21"/>
    <n v="240.67"/>
    <s v="No"/>
    <n v="56.77"/>
    <n v="34.1"/>
    <n v="15"/>
  </r>
  <r>
    <x v="26"/>
    <x v="3"/>
    <s v="Ubisoft"/>
    <x v="15"/>
    <x v="15"/>
    <x v="4"/>
    <x v="4"/>
    <s v="Dunia"/>
    <s v="Mature"/>
    <n v="73"/>
    <n v="19.440000000000001"/>
    <n v="133.19999999999999"/>
    <s v="No"/>
    <n v="87.97"/>
    <n v="184.9"/>
    <n v="10"/>
  </r>
  <r>
    <x v="0"/>
    <x v="0"/>
    <s v="Rockstar Games"/>
    <x v="0"/>
    <x v="0"/>
    <x v="0"/>
    <x v="4"/>
    <s v="RAGE"/>
    <s v="Mature"/>
    <n v="68"/>
    <n v="88.14"/>
    <n v="86.64"/>
    <s v="Yes"/>
    <n v="56.58"/>
    <n v="144.46"/>
    <n v="14"/>
  </r>
  <r>
    <x v="20"/>
    <x v="12"/>
    <s v="Mojang (Microsoft)"/>
    <x v="7"/>
    <x v="7"/>
    <x v="2"/>
    <x v="5"/>
    <s v="Custom"/>
    <s v="Everyone"/>
    <n v="89"/>
    <n v="62.44"/>
    <n v="110.53"/>
    <s v="Yes"/>
    <n v="144.13999999999999"/>
    <n v="157.99"/>
    <n v="11"/>
  </r>
  <r>
    <x v="52"/>
    <x v="28"/>
    <s v="Electronic Arts"/>
    <x v="2"/>
    <x v="2"/>
    <x v="10"/>
    <x v="1"/>
    <s v="Burnout Engine"/>
    <s v="E"/>
    <n v="80"/>
    <n v="5.42"/>
    <n v="20.58"/>
    <s v="Yes"/>
    <n v="174.75"/>
    <n v="107.57"/>
    <n v="7"/>
  </r>
  <r>
    <x v="20"/>
    <x v="12"/>
    <s v="Mojang (Microsoft)"/>
    <x v="7"/>
    <x v="7"/>
    <x v="2"/>
    <x v="11"/>
    <s v="Custom"/>
    <s v="Everyone"/>
    <n v="90"/>
    <n v="122.74"/>
    <n v="35.46"/>
    <s v="Yes"/>
    <n v="50.1"/>
    <n v="888.16"/>
    <n v="6"/>
  </r>
  <r>
    <x v="20"/>
    <x v="12"/>
    <s v="Mojang (Microsoft)"/>
    <x v="7"/>
    <x v="7"/>
    <x v="2"/>
    <x v="1"/>
    <s v="Custom"/>
    <s v="Everyone"/>
    <n v="83"/>
    <n v="137.94999999999999"/>
    <n v="246.99"/>
    <s v="Yes"/>
    <n v="121.11"/>
    <n v="1562.85"/>
    <n v="13"/>
  </r>
  <r>
    <x v="59"/>
    <x v="33"/>
    <s v="Electronic Arts"/>
    <x v="14"/>
    <x v="14"/>
    <x v="1"/>
    <x v="0"/>
    <s v="Proprietary"/>
    <s v="Teen"/>
    <n v="75"/>
    <n v="7.65"/>
    <n v="60.15"/>
    <s v="Yes"/>
    <n v="91.62"/>
    <n v="50.78"/>
    <n v="14"/>
  </r>
  <r>
    <x v="43"/>
    <x v="24"/>
    <s v="Capcom"/>
    <x v="2"/>
    <x v="2"/>
    <x v="1"/>
    <x v="4"/>
    <s v="MT Framework"/>
    <s v="Teen"/>
    <n v="70"/>
    <n v="7.52"/>
    <n v="52.1"/>
    <s v="Yes"/>
    <n v="166.81"/>
    <n v="74.239999999999995"/>
    <n v="18"/>
  </r>
  <r>
    <x v="11"/>
    <x v="6"/>
    <s v="Bethesda Softworks"/>
    <x v="3"/>
    <x v="3"/>
    <x v="1"/>
    <x v="5"/>
    <s v="Creation Engine"/>
    <s v="Mature"/>
    <n v="69"/>
    <n v="8.8699999999999992"/>
    <n v="138.37"/>
    <s v="Yes"/>
    <n v="88.4"/>
    <n v="48.2"/>
    <n v="3"/>
  </r>
  <r>
    <x v="51"/>
    <x v="27"/>
    <s v="Microsoft Studios"/>
    <x v="16"/>
    <x v="16"/>
    <x v="10"/>
    <x v="5"/>
    <s v="ForzaTech"/>
    <s v="E"/>
    <n v="83"/>
    <n v="7.66"/>
    <n v="230.02"/>
    <s v="Yes"/>
    <n v="22.19"/>
    <n v="76.06"/>
    <n v="6"/>
  </r>
  <r>
    <x v="11"/>
    <x v="6"/>
    <s v="Bethesda Softworks"/>
    <x v="3"/>
    <x v="3"/>
    <x v="1"/>
    <x v="5"/>
    <s v="Creation Engine"/>
    <s v="Mature"/>
    <n v="69"/>
    <n v="10.18"/>
    <n v="138.37"/>
    <s v="Yes"/>
    <n v="88.4"/>
    <n v="50.53"/>
    <n v="3"/>
  </r>
  <r>
    <x v="52"/>
    <x v="28"/>
    <s v="Electronic Arts"/>
    <x v="2"/>
    <x v="2"/>
    <x v="10"/>
    <x v="1"/>
    <s v="Burnout Engine"/>
    <s v="E"/>
    <n v="81"/>
    <n v="4.8099999999999996"/>
    <n v="20.58"/>
    <s v="Yes"/>
    <n v="174.75"/>
    <n v="104.7"/>
    <n v="8"/>
  </r>
  <r>
    <x v="51"/>
    <x v="27"/>
    <s v="Microsoft Studios"/>
    <x v="16"/>
    <x v="16"/>
    <x v="10"/>
    <x v="5"/>
    <s v="ForzaTech"/>
    <s v="E"/>
    <n v="80"/>
    <n v="10.77"/>
    <n v="230.02"/>
    <s v="Yes"/>
    <n v="22.19"/>
    <n v="83.4"/>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E48174-F90B-49A3-A17D-84B2013CBA06}" name="Platform Popular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Platform">
  <location ref="D47:E61" firstHeaderRow="1" firstDataRow="1" firstDataCol="1"/>
  <pivotFields count="16">
    <pivotField dataField="1" showAll="0"/>
    <pivotField showAll="0"/>
    <pivotField showAll="0"/>
    <pivotField showAll="0">
      <items count="20">
        <item x="11"/>
        <item x="10"/>
        <item x="17"/>
        <item x="1"/>
        <item x="8"/>
        <item x="7"/>
        <item x="14"/>
        <item x="0"/>
        <item x="15"/>
        <item x="3"/>
        <item x="13"/>
        <item x="5"/>
        <item x="2"/>
        <item x="12"/>
        <item x="4"/>
        <item x="16"/>
        <item x="6"/>
        <item x="9"/>
        <item x="18"/>
        <item t="default"/>
      </items>
    </pivotField>
    <pivotField numFmtId="14" showAll="0"/>
    <pivotField showAll="0">
      <items count="13">
        <item x="9"/>
        <item x="0"/>
        <item x="1"/>
        <item x="11"/>
        <item x="3"/>
        <item x="4"/>
        <item x="10"/>
        <item x="5"/>
        <item x="2"/>
        <item x="7"/>
        <item x="8"/>
        <item x="6"/>
        <item t="default"/>
      </items>
    </pivotField>
    <pivotField axis="axisRow" showAll="0">
      <items count="14">
        <item x="11"/>
        <item x="12"/>
        <item x="5"/>
        <item x="9"/>
        <item x="0"/>
        <item x="1"/>
        <item x="2"/>
        <item x="6"/>
        <item x="8"/>
        <item x="10"/>
        <item x="3"/>
        <item x="4"/>
        <item x="7"/>
        <item t="default"/>
      </items>
    </pivotField>
    <pivotField showAll="0"/>
    <pivotField showAll="0"/>
    <pivotField showAll="0"/>
    <pivotField showAll="0"/>
    <pivotField showAll="0"/>
    <pivotField showAll="0"/>
    <pivotField showAll="0"/>
    <pivotField showAll="0"/>
    <pivotField showAll="0"/>
  </pivotFields>
  <rowFields count="1">
    <field x="6"/>
  </rowFields>
  <rowItems count="14">
    <i>
      <x/>
    </i>
    <i>
      <x v="1"/>
    </i>
    <i>
      <x v="2"/>
    </i>
    <i>
      <x v="3"/>
    </i>
    <i>
      <x v="4"/>
    </i>
    <i>
      <x v="5"/>
    </i>
    <i>
      <x v="6"/>
    </i>
    <i>
      <x v="7"/>
    </i>
    <i>
      <x v="8"/>
    </i>
    <i>
      <x v="9"/>
    </i>
    <i>
      <x v="10"/>
    </i>
    <i>
      <x v="11"/>
    </i>
    <i>
      <x v="12"/>
    </i>
    <i t="grand">
      <x/>
    </i>
  </rowItems>
  <colItems count="1">
    <i/>
  </colItems>
  <dataFields count="1">
    <dataField name="Count of Game_Title" fld="0" subtotal="count" baseField="0" baseItem="0"/>
  </dataFields>
  <chartFormats count="14">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6" count="1" selected="0">
            <x v="0"/>
          </reference>
        </references>
      </pivotArea>
    </chartFormat>
    <chartFormat chart="3" format="17">
      <pivotArea type="data" outline="0" fieldPosition="0">
        <references count="2">
          <reference field="4294967294" count="1" selected="0">
            <x v="0"/>
          </reference>
          <reference field="6" count="1" selected="0">
            <x v="1"/>
          </reference>
        </references>
      </pivotArea>
    </chartFormat>
    <chartFormat chart="3" format="18">
      <pivotArea type="data" outline="0" fieldPosition="0">
        <references count="2">
          <reference field="4294967294" count="1" selected="0">
            <x v="0"/>
          </reference>
          <reference field="6" count="1" selected="0">
            <x v="2"/>
          </reference>
        </references>
      </pivotArea>
    </chartFormat>
    <chartFormat chart="3" format="19">
      <pivotArea type="data" outline="0" fieldPosition="0">
        <references count="2">
          <reference field="4294967294" count="1" selected="0">
            <x v="0"/>
          </reference>
          <reference field="6" count="1" selected="0">
            <x v="3"/>
          </reference>
        </references>
      </pivotArea>
    </chartFormat>
    <chartFormat chart="3" format="20">
      <pivotArea type="data" outline="0" fieldPosition="0">
        <references count="2">
          <reference field="4294967294" count="1" selected="0">
            <x v="0"/>
          </reference>
          <reference field="6" count="1" selected="0">
            <x v="4"/>
          </reference>
        </references>
      </pivotArea>
    </chartFormat>
    <chartFormat chart="3" format="21">
      <pivotArea type="data" outline="0" fieldPosition="0">
        <references count="2">
          <reference field="4294967294" count="1" selected="0">
            <x v="0"/>
          </reference>
          <reference field="6" count="1" selected="0">
            <x v="5"/>
          </reference>
        </references>
      </pivotArea>
    </chartFormat>
    <chartFormat chart="3" format="22">
      <pivotArea type="data" outline="0" fieldPosition="0">
        <references count="2">
          <reference field="4294967294" count="1" selected="0">
            <x v="0"/>
          </reference>
          <reference field="6" count="1" selected="0">
            <x v="6"/>
          </reference>
        </references>
      </pivotArea>
    </chartFormat>
    <chartFormat chart="3" format="23">
      <pivotArea type="data" outline="0" fieldPosition="0">
        <references count="2">
          <reference field="4294967294" count="1" selected="0">
            <x v="0"/>
          </reference>
          <reference field="6" count="1" selected="0">
            <x v="7"/>
          </reference>
        </references>
      </pivotArea>
    </chartFormat>
    <chartFormat chart="3" format="24">
      <pivotArea type="data" outline="0" fieldPosition="0">
        <references count="2">
          <reference field="4294967294" count="1" selected="0">
            <x v="0"/>
          </reference>
          <reference field="6" count="1" selected="0">
            <x v="8"/>
          </reference>
        </references>
      </pivotArea>
    </chartFormat>
    <chartFormat chart="3" format="25">
      <pivotArea type="data" outline="0" fieldPosition="0">
        <references count="2">
          <reference field="4294967294" count="1" selected="0">
            <x v="0"/>
          </reference>
          <reference field="6" count="1" selected="0">
            <x v="9"/>
          </reference>
        </references>
      </pivotArea>
    </chartFormat>
    <chartFormat chart="3" format="26">
      <pivotArea type="data" outline="0" fieldPosition="0">
        <references count="2">
          <reference field="4294967294" count="1" selected="0">
            <x v="0"/>
          </reference>
          <reference field="6" count="1" selected="0">
            <x v="10"/>
          </reference>
        </references>
      </pivotArea>
    </chartFormat>
    <chartFormat chart="3" format="27">
      <pivotArea type="data" outline="0" fieldPosition="0">
        <references count="2">
          <reference field="4294967294" count="1" selected="0">
            <x v="0"/>
          </reference>
          <reference field="6" count="1" selected="0">
            <x v="11"/>
          </reference>
        </references>
      </pivotArea>
    </chartFormat>
    <chartFormat chart="3" format="28">
      <pivotArea type="data" outline="0" fieldPosition="0">
        <references count="2">
          <reference field="4294967294" count="1" selected="0">
            <x v="0"/>
          </reference>
          <reference field="6"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2FA682-A862-45B2-98FE-25CE8FE7FC0A}" name="Average Review Scor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Genre/Game titles">
  <location ref="A47:B127" firstHeaderRow="1" firstDataRow="1" firstDataCol="1"/>
  <pivotFields count="16">
    <pivotField axis="axisRow" showAll="0">
      <items count="68">
        <item x="6"/>
        <item x="7"/>
        <item x="5"/>
        <item x="61"/>
        <item x="13"/>
        <item x="52"/>
        <item x="4"/>
        <item x="48"/>
        <item x="18"/>
        <item x="19"/>
        <item x="44"/>
        <item x="45"/>
        <item x="47"/>
        <item x="46"/>
        <item x="65"/>
        <item x="11"/>
        <item x="12"/>
        <item x="25"/>
        <item x="26"/>
        <item x="27"/>
        <item x="28"/>
        <item x="50"/>
        <item x="51"/>
        <item x="17"/>
        <item x="1"/>
        <item x="0"/>
        <item x="60"/>
        <item x="15"/>
        <item x="16"/>
        <item x="9"/>
        <item x="8"/>
        <item x="29"/>
        <item x="30"/>
        <item x="58"/>
        <item x="59"/>
        <item x="32"/>
        <item x="33"/>
        <item x="41"/>
        <item x="20"/>
        <item x="43"/>
        <item x="21"/>
        <item x="55"/>
        <item x="62"/>
        <item x="66"/>
        <item x="2"/>
        <item x="40"/>
        <item x="54"/>
        <item x="31"/>
        <item x="63"/>
        <item x="49"/>
        <item x="36"/>
        <item x="64"/>
        <item x="39"/>
        <item x="42"/>
        <item x="37"/>
        <item x="38"/>
        <item x="14"/>
        <item x="53"/>
        <item x="10"/>
        <item x="56"/>
        <item x="57"/>
        <item x="22"/>
        <item x="3"/>
        <item x="23"/>
        <item x="24"/>
        <item x="34"/>
        <item x="35"/>
        <item t="default"/>
      </items>
    </pivotField>
    <pivotField showAll="0">
      <items count="40">
        <item x="33"/>
        <item x="22"/>
        <item x="15"/>
        <item x="10"/>
        <item x="6"/>
        <item x="24"/>
        <item x="2"/>
        <item x="28"/>
        <item x="35"/>
        <item x="26"/>
        <item x="25"/>
        <item x="21"/>
        <item x="5"/>
        <item x="17"/>
        <item x="13"/>
        <item x="29"/>
        <item x="11"/>
        <item x="31"/>
        <item x="12"/>
        <item x="8"/>
        <item x="7"/>
        <item x="27"/>
        <item x="36"/>
        <item x="37"/>
        <item x="0"/>
        <item x="38"/>
        <item x="1"/>
        <item x="18"/>
        <item x="30"/>
        <item x="34"/>
        <item x="9"/>
        <item x="3"/>
        <item x="4"/>
        <item x="14"/>
        <item x="23"/>
        <item x="20"/>
        <item x="16"/>
        <item x="32"/>
        <item x="19"/>
        <item t="default"/>
      </items>
    </pivotField>
    <pivotField showAll="0"/>
    <pivotField showAll="0">
      <items count="20">
        <item x="11"/>
        <item x="10"/>
        <item x="17"/>
        <item x="1"/>
        <item x="8"/>
        <item x="7"/>
        <item x="14"/>
        <item x="0"/>
        <item x="15"/>
        <item x="3"/>
        <item x="13"/>
        <item x="5"/>
        <item x="2"/>
        <item x="12"/>
        <item x="4"/>
        <item x="16"/>
        <item x="6"/>
        <item x="9"/>
        <item x="18"/>
        <item t="default"/>
      </items>
    </pivotField>
    <pivotField numFmtId="14" showAll="0"/>
    <pivotField axis="axisRow" showAll="0">
      <items count="13">
        <item x="9"/>
        <item x="0"/>
        <item x="1"/>
        <item x="11"/>
        <item x="3"/>
        <item x="4"/>
        <item x="10"/>
        <item x="5"/>
        <item x="2"/>
        <item x="7"/>
        <item x="8"/>
        <item x="6"/>
        <item t="default"/>
      </items>
    </pivotField>
    <pivotField showAll="0">
      <items count="14">
        <item x="11"/>
        <item x="12"/>
        <item x="5"/>
        <item x="9"/>
        <item x="0"/>
        <item x="1"/>
        <item x="2"/>
        <item x="6"/>
        <item x="8"/>
        <item x="10"/>
        <item x="3"/>
        <item x="4"/>
        <item x="7"/>
        <item t="default"/>
      </items>
    </pivotField>
    <pivotField showAll="0"/>
    <pivotField showAll="0"/>
    <pivotField dataField="1" showAll="0"/>
    <pivotField showAll="0"/>
    <pivotField showAll="0"/>
    <pivotField showAll="0"/>
    <pivotField showAll="0"/>
    <pivotField showAll="0"/>
    <pivotField showAll="0"/>
  </pivotFields>
  <rowFields count="2">
    <field x="5"/>
    <field x="0"/>
  </rowFields>
  <rowItems count="80">
    <i>
      <x/>
    </i>
    <i r="1">
      <x v="7"/>
    </i>
    <i r="1">
      <x v="12"/>
    </i>
    <i>
      <x v="1"/>
    </i>
    <i r="1">
      <x v="4"/>
    </i>
    <i r="1">
      <x v="8"/>
    </i>
    <i r="1">
      <x v="9"/>
    </i>
    <i r="1">
      <x v="23"/>
    </i>
    <i r="1">
      <x v="24"/>
    </i>
    <i r="1">
      <x v="25"/>
    </i>
    <i r="1">
      <x v="27"/>
    </i>
    <i r="1">
      <x v="28"/>
    </i>
    <i r="1">
      <x v="31"/>
    </i>
    <i r="1">
      <x v="32"/>
    </i>
    <i r="1">
      <x v="35"/>
    </i>
    <i r="1">
      <x v="36"/>
    </i>
    <i r="1">
      <x v="43"/>
    </i>
    <i r="1">
      <x v="44"/>
    </i>
    <i r="1">
      <x v="47"/>
    </i>
    <i r="1">
      <x v="49"/>
    </i>
    <i r="1">
      <x v="50"/>
    </i>
    <i r="1">
      <x v="56"/>
    </i>
    <i r="1">
      <x v="59"/>
    </i>
    <i r="1">
      <x v="60"/>
    </i>
    <i r="1">
      <x v="63"/>
    </i>
    <i r="1">
      <x v="64"/>
    </i>
    <i r="1">
      <x v="65"/>
    </i>
    <i>
      <x v="2"/>
    </i>
    <i r="1">
      <x/>
    </i>
    <i r="1">
      <x v="1"/>
    </i>
    <i r="1">
      <x v="2"/>
    </i>
    <i r="1">
      <x v="3"/>
    </i>
    <i r="1">
      <x v="6"/>
    </i>
    <i r="1">
      <x v="10"/>
    </i>
    <i r="1">
      <x v="11"/>
    </i>
    <i r="1">
      <x v="14"/>
    </i>
    <i r="1">
      <x v="15"/>
    </i>
    <i r="1">
      <x v="16"/>
    </i>
    <i r="1">
      <x v="26"/>
    </i>
    <i r="1">
      <x v="29"/>
    </i>
    <i r="1">
      <x v="30"/>
    </i>
    <i r="1">
      <x v="33"/>
    </i>
    <i r="1">
      <x v="34"/>
    </i>
    <i r="1">
      <x v="39"/>
    </i>
    <i r="1">
      <x v="51"/>
    </i>
    <i r="1">
      <x v="52"/>
    </i>
    <i r="1">
      <x v="58"/>
    </i>
    <i r="1">
      <x v="61"/>
    </i>
    <i r="1">
      <x v="62"/>
    </i>
    <i>
      <x v="3"/>
    </i>
    <i r="1">
      <x v="48"/>
    </i>
    <i>
      <x v="4"/>
    </i>
    <i r="1">
      <x v="40"/>
    </i>
    <i r="1">
      <x v="41"/>
    </i>
    <i r="1">
      <x v="46"/>
    </i>
    <i>
      <x v="5"/>
    </i>
    <i r="1">
      <x v="17"/>
    </i>
    <i r="1">
      <x v="18"/>
    </i>
    <i r="1">
      <x v="19"/>
    </i>
    <i r="1">
      <x v="20"/>
    </i>
    <i>
      <x v="6"/>
    </i>
    <i r="1">
      <x v="5"/>
    </i>
    <i r="1">
      <x v="21"/>
    </i>
    <i r="1">
      <x v="22"/>
    </i>
    <i r="1">
      <x v="57"/>
    </i>
    <i>
      <x v="7"/>
    </i>
    <i r="1">
      <x v="66"/>
    </i>
    <i>
      <x v="8"/>
    </i>
    <i r="1">
      <x v="38"/>
    </i>
    <i>
      <x v="9"/>
    </i>
    <i r="1">
      <x v="37"/>
    </i>
    <i>
      <x v="10"/>
    </i>
    <i r="1">
      <x v="13"/>
    </i>
    <i>
      <x v="11"/>
    </i>
    <i r="1">
      <x v="42"/>
    </i>
    <i r="1">
      <x v="45"/>
    </i>
    <i r="1">
      <x v="53"/>
    </i>
    <i r="1">
      <x v="54"/>
    </i>
    <i r="1">
      <x v="55"/>
    </i>
    <i t="grand">
      <x/>
    </i>
  </rowItems>
  <colItems count="1">
    <i/>
  </colItems>
  <dataFields count="1">
    <dataField name="Average of Metacritic_Score" fld="9" subtotal="average" baseField="4"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C38DE2-7A9A-4AEC-810C-D6FC03AA16A8}" name="Games over 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elease_Year">
  <location ref="G3:T10" firstHeaderRow="1" firstDataRow="2" firstDataCol="1"/>
  <pivotFields count="16">
    <pivotField dataField="1" showAll="0"/>
    <pivotField showAll="0"/>
    <pivotField showAll="0"/>
    <pivotField axis="axisRow" showAll="0" measureFilter="1">
      <items count="20">
        <item x="11"/>
        <item x="10"/>
        <item x="17"/>
        <item x="1"/>
        <item x="8"/>
        <item x="7"/>
        <item x="14"/>
        <item x="0"/>
        <item x="15"/>
        <item x="3"/>
        <item x="13"/>
        <item x="5"/>
        <item x="2"/>
        <item x="12"/>
        <item x="4"/>
        <item x="16"/>
        <item x="6"/>
        <item x="9"/>
        <item x="18"/>
        <item t="default"/>
      </items>
    </pivotField>
    <pivotField numFmtId="14" showAll="0"/>
    <pivotField axis="axisCol" showAll="0">
      <items count="13">
        <item x="9"/>
        <item x="0"/>
        <item x="1"/>
        <item x="11"/>
        <item x="3"/>
        <item x="4"/>
        <item x="10"/>
        <item x="5"/>
        <item x="2"/>
        <item x="7"/>
        <item x="8"/>
        <item x="6"/>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6">
    <i>
      <x v="5"/>
    </i>
    <i>
      <x v="9"/>
    </i>
    <i>
      <x v="12"/>
    </i>
    <i>
      <x v="13"/>
    </i>
    <i>
      <x v="15"/>
    </i>
    <i t="grand">
      <x/>
    </i>
  </rowItems>
  <colFields count="1">
    <field x="5"/>
  </colFields>
  <colItems count="13">
    <i>
      <x/>
    </i>
    <i>
      <x v="1"/>
    </i>
    <i>
      <x v="2"/>
    </i>
    <i>
      <x v="3"/>
    </i>
    <i>
      <x v="4"/>
    </i>
    <i>
      <x v="5"/>
    </i>
    <i>
      <x v="6"/>
    </i>
    <i>
      <x v="7"/>
    </i>
    <i>
      <x v="8"/>
    </i>
    <i>
      <x v="9"/>
    </i>
    <i>
      <x v="10"/>
    </i>
    <i>
      <x v="11"/>
    </i>
    <i t="grand">
      <x/>
    </i>
  </colItems>
  <dataFields count="1">
    <dataField name="Count of Game_Title" fld="0" subtotal="count" baseField="0" baseItem="0"/>
  </dataFields>
  <chartFormats count="12">
    <chartFormat chart="7" format="24"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1"/>
          </reference>
        </references>
      </pivotArea>
    </chartFormat>
    <chartFormat chart="7" format="26" series="1">
      <pivotArea type="data" outline="0" fieldPosition="0">
        <references count="2">
          <reference field="4294967294" count="1" selected="0">
            <x v="0"/>
          </reference>
          <reference field="5" count="1" selected="0">
            <x v="2"/>
          </reference>
        </references>
      </pivotArea>
    </chartFormat>
    <chartFormat chart="7" format="27" series="1">
      <pivotArea type="data" outline="0" fieldPosition="0">
        <references count="2">
          <reference field="4294967294" count="1" selected="0">
            <x v="0"/>
          </reference>
          <reference field="5" count="1" selected="0">
            <x v="3"/>
          </reference>
        </references>
      </pivotArea>
    </chartFormat>
    <chartFormat chart="7" format="28" series="1">
      <pivotArea type="data" outline="0" fieldPosition="0">
        <references count="2">
          <reference field="4294967294" count="1" selected="0">
            <x v="0"/>
          </reference>
          <reference field="5" count="1" selected="0">
            <x v="4"/>
          </reference>
        </references>
      </pivotArea>
    </chartFormat>
    <chartFormat chart="7" format="29" series="1">
      <pivotArea type="data" outline="0" fieldPosition="0">
        <references count="2">
          <reference field="4294967294" count="1" selected="0">
            <x v="0"/>
          </reference>
          <reference field="5" count="1" selected="0">
            <x v="5"/>
          </reference>
        </references>
      </pivotArea>
    </chartFormat>
    <chartFormat chart="7" format="30" series="1">
      <pivotArea type="data" outline="0" fieldPosition="0">
        <references count="2">
          <reference field="4294967294" count="1" selected="0">
            <x v="0"/>
          </reference>
          <reference field="5" count="1" selected="0">
            <x v="6"/>
          </reference>
        </references>
      </pivotArea>
    </chartFormat>
    <chartFormat chart="7" format="31" series="1">
      <pivotArea type="data" outline="0" fieldPosition="0">
        <references count="2">
          <reference field="4294967294" count="1" selected="0">
            <x v="0"/>
          </reference>
          <reference field="5" count="1" selected="0">
            <x v="7"/>
          </reference>
        </references>
      </pivotArea>
    </chartFormat>
    <chartFormat chart="7" format="32" series="1">
      <pivotArea type="data" outline="0" fieldPosition="0">
        <references count="2">
          <reference field="4294967294" count="1" selected="0">
            <x v="0"/>
          </reference>
          <reference field="5" count="1" selected="0">
            <x v="8"/>
          </reference>
        </references>
      </pivotArea>
    </chartFormat>
    <chartFormat chart="7" format="33" series="1">
      <pivotArea type="data" outline="0" fieldPosition="0">
        <references count="2">
          <reference field="4294967294" count="1" selected="0">
            <x v="0"/>
          </reference>
          <reference field="5" count="1" selected="0">
            <x v="9"/>
          </reference>
        </references>
      </pivotArea>
    </chartFormat>
    <chartFormat chart="7" format="34" series="1">
      <pivotArea type="data" outline="0" fieldPosition="0">
        <references count="2">
          <reference field="4294967294" count="1" selected="0">
            <x v="0"/>
          </reference>
          <reference field="5" count="1" selected="0">
            <x v="10"/>
          </reference>
        </references>
      </pivotArea>
    </chartFormat>
    <chartFormat chart="7" format="35"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CE8819-FD29-410E-A0AA-F615D2EF3A5B}" name="Games by Developer"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Developer">
  <location ref="D3:E43" firstHeaderRow="1" firstDataRow="1" firstDataCol="1"/>
  <pivotFields count="16">
    <pivotField dataField="1" showAll="0"/>
    <pivotField axis="axisRow" showAll="0">
      <items count="40">
        <item x="33"/>
        <item x="22"/>
        <item x="15"/>
        <item x="10"/>
        <item x="6"/>
        <item x="24"/>
        <item x="2"/>
        <item x="28"/>
        <item x="35"/>
        <item x="26"/>
        <item x="25"/>
        <item x="21"/>
        <item x="5"/>
        <item x="17"/>
        <item x="13"/>
        <item x="29"/>
        <item x="11"/>
        <item x="31"/>
        <item x="12"/>
        <item x="8"/>
        <item x="7"/>
        <item x="27"/>
        <item x="36"/>
        <item x="37"/>
        <item x="0"/>
        <item x="38"/>
        <item x="1"/>
        <item x="18"/>
        <item x="30"/>
        <item x="34"/>
        <item x="9"/>
        <item x="3"/>
        <item x="4"/>
        <item x="14"/>
        <item x="23"/>
        <item x="20"/>
        <item x="16"/>
        <item x="32"/>
        <item x="19"/>
        <item t="default"/>
      </items>
    </pivotField>
    <pivotField showAll="0"/>
    <pivotField showAll="0">
      <items count="20">
        <item x="11"/>
        <item x="10"/>
        <item x="17"/>
        <item x="1"/>
        <item x="8"/>
        <item x="7"/>
        <item x="14"/>
        <item x="0"/>
        <item x="15"/>
        <item x="3"/>
        <item x="13"/>
        <item x="5"/>
        <item x="2"/>
        <item x="12"/>
        <item x="4"/>
        <item x="16"/>
        <item x="6"/>
        <item x="9"/>
        <item x="18"/>
        <item t="default"/>
      </items>
    </pivotField>
    <pivotField numFmtId="14" showAll="0">
      <items count="20">
        <item x="11"/>
        <item x="10"/>
        <item x="17"/>
        <item x="1"/>
        <item x="8"/>
        <item x="7"/>
        <item x="14"/>
        <item x="0"/>
        <item x="15"/>
        <item x="3"/>
        <item x="13"/>
        <item x="5"/>
        <item x="2"/>
        <item x="12"/>
        <item x="4"/>
        <item x="16"/>
        <item x="6"/>
        <item x="9"/>
        <item x="18"/>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Count of Game_Title"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FA790E-E91F-4F7C-B7E8-D549B192FF5E}" name=" Game Count by Gen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Genre">
  <location ref="A3:B16" firstHeaderRow="1" firstDataRow="1" firstDataCol="1"/>
  <pivotFields count="16">
    <pivotField dataField="1" showAll="0"/>
    <pivotField showAll="0"/>
    <pivotField showAll="0"/>
    <pivotField showAll="0">
      <items count="20">
        <item x="11"/>
        <item x="10"/>
        <item x="17"/>
        <item x="1"/>
        <item x="8"/>
        <item x="7"/>
        <item x="14"/>
        <item x="0"/>
        <item x="15"/>
        <item x="3"/>
        <item x="13"/>
        <item x="5"/>
        <item x="2"/>
        <item x="12"/>
        <item x="4"/>
        <item x="16"/>
        <item x="6"/>
        <item x="9"/>
        <item x="18"/>
        <item t="default"/>
      </items>
    </pivotField>
    <pivotField numFmtId="14" showAll="0"/>
    <pivotField axis="axisRow" showAll="0">
      <items count="13">
        <item x="9"/>
        <item x="0"/>
        <item x="1"/>
        <item x="11"/>
        <item x="3"/>
        <item x="4"/>
        <item x="10"/>
        <item x="5"/>
        <item x="2"/>
        <item x="7"/>
        <item x="8"/>
        <item x="6"/>
        <item t="default"/>
      </items>
    </pivotField>
    <pivotField showAll="0"/>
    <pivotField showAll="0"/>
    <pivotField showAll="0"/>
    <pivotField showAll="0"/>
    <pivotField showAll="0"/>
    <pivotField showAll="0"/>
    <pivotField showAll="0"/>
    <pivotField showAll="0"/>
    <pivotField showAll="0"/>
    <pivotField showAll="0"/>
  </pivotFields>
  <rowFields count="1">
    <field x="5"/>
  </rowFields>
  <rowItems count="13">
    <i>
      <x/>
    </i>
    <i>
      <x v="1"/>
    </i>
    <i>
      <x v="2"/>
    </i>
    <i>
      <x v="3"/>
    </i>
    <i>
      <x v="4"/>
    </i>
    <i>
      <x v="5"/>
    </i>
    <i>
      <x v="6"/>
    </i>
    <i>
      <x v="7"/>
    </i>
    <i>
      <x v="8"/>
    </i>
    <i>
      <x v="9"/>
    </i>
    <i>
      <x v="10"/>
    </i>
    <i>
      <x v="11"/>
    </i>
    <i t="grand">
      <x/>
    </i>
  </rowItems>
  <colItems count="1">
    <i/>
  </colItems>
  <dataFields count="1">
    <dataField name="Count of Game_Title"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6551AB-C4A0-4719-944E-9B4B03F64FCE}" name="Top Developers by 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eveloper">
  <location ref="G47:H87" firstHeaderRow="1" firstDataRow="1" firstDataCol="1"/>
  <pivotFields count="16">
    <pivotField showAll="0"/>
    <pivotField axis="axisRow" showAll="0" sortType="descending">
      <items count="40">
        <item x="19"/>
        <item x="32"/>
        <item x="16"/>
        <item x="20"/>
        <item x="23"/>
        <item x="14"/>
        <item x="4"/>
        <item x="3"/>
        <item x="9"/>
        <item x="34"/>
        <item x="30"/>
        <item x="18"/>
        <item x="1"/>
        <item x="38"/>
        <item x="0"/>
        <item x="37"/>
        <item x="36"/>
        <item x="27"/>
        <item x="7"/>
        <item x="8"/>
        <item x="12"/>
        <item x="31"/>
        <item x="11"/>
        <item x="29"/>
        <item x="13"/>
        <item x="17"/>
        <item x="5"/>
        <item x="21"/>
        <item x="25"/>
        <item x="26"/>
        <item x="35"/>
        <item x="28"/>
        <item x="2"/>
        <item x="24"/>
        <item x="6"/>
        <item x="10"/>
        <item x="15"/>
        <item x="22"/>
        <item x="33"/>
        <item t="default"/>
      </items>
    </pivotField>
    <pivotField showAll="0"/>
    <pivotField showAll="0">
      <items count="20">
        <item x="11"/>
        <item x="10"/>
        <item x="17"/>
        <item x="1"/>
        <item x="8"/>
        <item x="7"/>
        <item x="14"/>
        <item x="0"/>
        <item x="15"/>
        <item x="3"/>
        <item x="13"/>
        <item x="5"/>
        <item x="2"/>
        <item x="12"/>
        <item x="4"/>
        <item x="16"/>
        <item x="6"/>
        <item x="9"/>
        <item x="18"/>
        <item t="default"/>
      </items>
    </pivotField>
    <pivotField numFmtId="14" showAll="0"/>
    <pivotField showAll="0">
      <items count="13">
        <item x="9"/>
        <item x="0"/>
        <item x="1"/>
        <item x="11"/>
        <item x="3"/>
        <item x="4"/>
        <item x="10"/>
        <item x="5"/>
        <item x="2"/>
        <item x="7"/>
        <item x="8"/>
        <item x="6"/>
        <item t="default"/>
      </items>
    </pivotField>
    <pivotField showAll="0">
      <items count="14">
        <item x="11"/>
        <item x="12"/>
        <item x="5"/>
        <item x="9"/>
        <item x="0"/>
        <item x="1"/>
        <item x="2"/>
        <item x="6"/>
        <item x="8"/>
        <item x="10"/>
        <item x="3"/>
        <item x="4"/>
        <item x="7"/>
        <item t="default"/>
      </items>
    </pivotField>
    <pivotField showAll="0"/>
    <pivotField showAll="0"/>
    <pivotField dataField="1" showAll="0"/>
    <pivotField showAll="0"/>
    <pivotField showAll="0"/>
    <pivotField showAll="0"/>
    <pivotField showAll="0"/>
    <pivotField showAll="0"/>
    <pivotField showAll="0"/>
  </pivotFields>
  <rowFields count="1">
    <field x="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Average of Metacritic_Score" fld="9" subtotal="average" baseField="1"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eloper" xr10:uid="{964A92A2-FC0F-4B77-A9A1-689B67C343BD}" sourceName="Developer">
  <pivotTables>
    <pivotTable tabId="3" name="Games by Developer"/>
    <pivotTable tabId="3" name="Average Review Scores"/>
    <pivotTable tabId="3" name="Top Developers by Rating"/>
  </pivotTables>
  <data>
    <tabular pivotCacheId="1461297451">
      <items count="39">
        <i x="33" s="1"/>
        <i x="22" s="1"/>
        <i x="15" s="1"/>
        <i x="10" s="1"/>
        <i x="6" s="1"/>
        <i x="24" s="1"/>
        <i x="2" s="1"/>
        <i x="28" s="1"/>
        <i x="35" s="1"/>
        <i x="26" s="1"/>
        <i x="25" s="1"/>
        <i x="21" s="1"/>
        <i x="5" s="1"/>
        <i x="17" s="1"/>
        <i x="13" s="1"/>
        <i x="29" s="1"/>
        <i x="11" s="1"/>
        <i x="31" s="1"/>
        <i x="12" s="1"/>
        <i x="8" s="1"/>
        <i x="7" s="1"/>
        <i x="27" s="1"/>
        <i x="36" s="1"/>
        <i x="37" s="1"/>
        <i x="0" s="1"/>
        <i x="38" s="1"/>
        <i x="1" s="1"/>
        <i x="18" s="1"/>
        <i x="30" s="1"/>
        <i x="34" s="1"/>
        <i x="9" s="1"/>
        <i x="3" s="1"/>
        <i x="4" s="1"/>
        <i x="14" s="1"/>
        <i x="23" s="1"/>
        <i x="20" s="1"/>
        <i x="16" s="1"/>
        <i x="32"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Year" xr10:uid="{52AB5609-2FB7-4A51-8015-3CA44D2EFD64}" sourceName="Release_Year">
  <pivotTables>
    <pivotTable tabId="3" name=" Game Count by Genre"/>
    <pivotTable tabId="3" name="Games by Developer"/>
    <pivotTable tabId="3" name="Games over Time"/>
    <pivotTable tabId="3" name="Average Review Scores"/>
    <pivotTable tabId="3" name="Platform Popularity"/>
    <pivotTable tabId="3" name="Top Developers by Rating"/>
  </pivotTables>
  <data>
    <tabular pivotCacheId="1461297451">
      <items count="19">
        <i x="11" s="1"/>
        <i x="10" s="1"/>
        <i x="17" s="1"/>
        <i x="1" s="1"/>
        <i x="8" s="1"/>
        <i x="7" s="1"/>
        <i x="14" s="1"/>
        <i x="0" s="1"/>
        <i x="15" s="1"/>
        <i x="3" s="1"/>
        <i x="13" s="1"/>
        <i x="5" s="1"/>
        <i x="2" s="1"/>
        <i x="12" s="1"/>
        <i x="4" s="1"/>
        <i x="16" s="1"/>
        <i x="6" s="1"/>
        <i x="9" s="1"/>
        <i x="1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5286EF7F-DFBF-480A-AB9C-DECC3B0F6C58}" sourceName="Genre">
  <pivotTables>
    <pivotTable tabId="3" name=" Game Count by Genre"/>
    <pivotTable tabId="3" name="Average Review Scores"/>
    <pivotTable tabId="3" name="Platform Popularity"/>
    <pivotTable tabId="3" name="Top Developers by Rating"/>
  </pivotTables>
  <data>
    <tabular pivotCacheId="1461297451">
      <items count="12">
        <i x="9" s="1"/>
        <i x="0" s="1"/>
        <i x="1" s="1"/>
        <i x="11" s="1"/>
        <i x="3" s="1"/>
        <i x="4" s="1"/>
        <i x="10" s="1"/>
        <i x="5" s="1"/>
        <i x="2" s="1"/>
        <i x="7" s="1"/>
        <i x="8"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E2C3A458-4E5E-4764-9518-335DB4543509}" sourceName="Platform">
  <pivotTables>
    <pivotTable tabId="3" name="Average Review Scores"/>
    <pivotTable tabId="3" name="Platform Popularity"/>
    <pivotTable tabId="3" name="Top Developers by Rating"/>
  </pivotTables>
  <data>
    <tabular pivotCacheId="1461297451">
      <items count="13">
        <i x="11" s="1"/>
        <i x="12" s="1"/>
        <i x="5" s="1"/>
        <i x="9" s="1"/>
        <i x="0" s="1"/>
        <i x="1" s="1"/>
        <i x="2" s="1"/>
        <i x="6" s="1"/>
        <i x="8" s="1"/>
        <i x="10" s="1"/>
        <i x="3"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eloper" xr10:uid="{A676A3E5-2BAF-48FA-8784-CA8B2295EC8D}" cache="Slicer_Developer" caption="Developer" startItem="5" rowHeight="241300"/>
  <slicer name="Release_Year" xr10:uid="{A7CBE219-A1B5-4076-894E-2B6FC5122728}" cache="Slicer_Release_Year" caption="Release_Year" startItem="9" rowHeight="241300"/>
  <slicer name="Genre" xr10:uid="{E4C77A20-18D1-412A-9196-94005EDD5A7A}" cache="Slicer_Genre" caption="Genre" rowHeight="241300"/>
  <slicer name="Platform" xr10:uid="{2F1D61AA-3911-40B2-B1CB-CA6AC211F0D2}" cache="Slicer_Platform" caption="Platform"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veloper 1" xr10:uid="{C6242957-1DA7-412A-B788-BC567379209B}" cache="Slicer_Developer" caption="Developer" startItem="9" style="SlicerStyleDark4" rowHeight="241300"/>
  <slicer name="Release_Year 1" xr10:uid="{43CCF6FF-416E-4170-B5C1-89DC2BE933F7}" cache="Slicer_Release_Year" caption="Release_Year" startItem="2" style="SlicerStyleDark4" rowHeight="241300"/>
  <slicer name="Genre 1" xr10:uid="{D3BDDF82-1071-4901-8E65-111B3E81E725}" cache="Slicer_Genre" caption="Genre" startItem="4" style="SlicerStyleDark4" rowHeight="241300"/>
  <slicer name="Platform 1" xr10:uid="{963A4955-F26E-4315-AB1D-59ABEAB9BF47}" cache="Slicer_Platform" caption="Platform" startItem="8"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Release_Date" xr10:uid="{3F0CE8E4-2B34-4D36-A5C8-75D005E98FBD}" sourceName="Release_Date">
  <pivotTables>
    <pivotTable tabId="3" name="Games by Developer"/>
  </pivotTables>
  <state minimalRefreshVersion="6" lastRefreshVersion="6" pivotCacheId="1461297451" filterType="unknown">
    <bounds startDate="200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_Date" xr10:uid="{50415EDE-8692-48A5-BE56-819CB429323B}" cache="NativeTimeline_Release_Date" caption="Release_Date" level="2" selectionLevel="2" scrollPosition="2002-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Release_Date 1" xr10:uid="{CC72767B-17A5-43F7-BFFE-D014D1D7036F}" cache="NativeTimeline_Release_Date" caption="Release_Date" level="2" selectionLevel="2" scrollPosition="2002-01-01T00:00:00"/>
</timeline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01"/>
  <sheetViews>
    <sheetView topLeftCell="F481" workbookViewId="0">
      <selection activeCell="M484" sqref="M484"/>
    </sheetView>
  </sheetViews>
  <sheetFormatPr defaultRowHeight="15" x14ac:dyDescent="0.25"/>
  <cols>
    <col min="1" max="1" width="39.42578125" bestFit="1" customWidth="1"/>
    <col min="2" max="2" width="30.140625" bestFit="1" customWidth="1"/>
    <col min="3" max="3" width="29.140625" bestFit="1" customWidth="1"/>
    <col min="4" max="4" width="13.140625" bestFit="1" customWidth="1"/>
    <col min="5" max="5" width="13.140625" customWidth="1"/>
    <col min="6" max="6" width="17" bestFit="1" customWidth="1"/>
    <col min="7" max="7" width="14.85546875" bestFit="1" customWidth="1"/>
    <col min="8" max="8" width="18.85546875" bestFit="1" customWidth="1"/>
    <col min="9" max="9" width="11.85546875" bestFit="1" customWidth="1"/>
    <col min="10" max="10" width="16" bestFit="1" customWidth="1"/>
    <col min="11" max="11" width="14" bestFit="1" customWidth="1"/>
    <col min="12" max="12" width="14.42578125" bestFit="1" customWidth="1"/>
    <col min="13" max="14" width="18.7109375" bestFit="1" customWidth="1"/>
    <col min="15" max="15" width="20.28515625" bestFit="1" customWidth="1"/>
    <col min="16" max="16" width="12.85546875" bestFit="1" customWidth="1"/>
  </cols>
  <sheetData>
    <row r="1" spans="1:16" x14ac:dyDescent="0.25">
      <c r="A1" s="1" t="s">
        <v>0</v>
      </c>
      <c r="B1" s="1" t="s">
        <v>1</v>
      </c>
      <c r="C1" s="1" t="s">
        <v>2</v>
      </c>
      <c r="D1" s="1" t="s">
        <v>3</v>
      </c>
      <c r="E1" s="6" t="s">
        <v>213</v>
      </c>
      <c r="F1" s="1" t="s">
        <v>4</v>
      </c>
      <c r="G1" s="1" t="s">
        <v>5</v>
      </c>
      <c r="H1" s="1" t="s">
        <v>6</v>
      </c>
      <c r="I1" s="1" t="s">
        <v>7</v>
      </c>
      <c r="J1" s="1" t="s">
        <v>8</v>
      </c>
      <c r="K1" s="1" t="s">
        <v>9</v>
      </c>
      <c r="L1" s="1" t="s">
        <v>10</v>
      </c>
      <c r="M1" s="1" t="s">
        <v>11</v>
      </c>
      <c r="N1" s="1" t="s">
        <v>12</v>
      </c>
      <c r="O1" s="1" t="s">
        <v>13</v>
      </c>
      <c r="P1" s="1" t="s">
        <v>14</v>
      </c>
    </row>
    <row r="2" spans="1:16" x14ac:dyDescent="0.25">
      <c r="A2" t="s">
        <v>15</v>
      </c>
      <c r="B2" t="s">
        <v>16</v>
      </c>
      <c r="C2" t="s">
        <v>17</v>
      </c>
      <c r="D2">
        <v>2013</v>
      </c>
      <c r="E2" s="5">
        <f>DATE(D2,1,1)</f>
        <v>41275</v>
      </c>
      <c r="F2" t="s">
        <v>18</v>
      </c>
      <c r="G2" t="s">
        <v>19</v>
      </c>
      <c r="H2" t="s">
        <v>20</v>
      </c>
      <c r="I2" t="s">
        <v>21</v>
      </c>
      <c r="J2">
        <v>90</v>
      </c>
      <c r="K2">
        <v>31.15</v>
      </c>
      <c r="L2">
        <v>185.65</v>
      </c>
      <c r="M2" t="s">
        <v>22</v>
      </c>
      <c r="N2">
        <v>52.75</v>
      </c>
      <c r="O2">
        <v>70.27</v>
      </c>
      <c r="P2">
        <v>3</v>
      </c>
    </row>
    <row r="3" spans="1:16" x14ac:dyDescent="0.25">
      <c r="A3" t="s">
        <v>15</v>
      </c>
      <c r="B3" t="s">
        <v>16</v>
      </c>
      <c r="C3" t="s">
        <v>17</v>
      </c>
      <c r="D3">
        <v>2013</v>
      </c>
      <c r="E3" s="5">
        <f t="shared" ref="E3:E66" si="0">DATE(D3,1,1)</f>
        <v>41275</v>
      </c>
      <c r="F3" t="s">
        <v>18</v>
      </c>
      <c r="G3" t="s">
        <v>23</v>
      </c>
      <c r="H3" t="s">
        <v>20</v>
      </c>
      <c r="I3" t="s">
        <v>21</v>
      </c>
      <c r="J3">
        <v>86</v>
      </c>
      <c r="K3">
        <v>26.52</v>
      </c>
      <c r="L3">
        <v>106.06</v>
      </c>
      <c r="M3" t="s">
        <v>24</v>
      </c>
      <c r="N3">
        <v>10.81</v>
      </c>
      <c r="O3">
        <v>78.7</v>
      </c>
      <c r="P3">
        <v>16</v>
      </c>
    </row>
    <row r="4" spans="1:16" x14ac:dyDescent="0.25">
      <c r="A4" t="s">
        <v>15</v>
      </c>
      <c r="B4" t="s">
        <v>16</v>
      </c>
      <c r="C4" t="s">
        <v>17</v>
      </c>
      <c r="D4">
        <v>2013</v>
      </c>
      <c r="E4" s="5">
        <f t="shared" si="0"/>
        <v>41275</v>
      </c>
      <c r="F4" t="s">
        <v>18</v>
      </c>
      <c r="G4" t="s">
        <v>25</v>
      </c>
      <c r="H4" t="s">
        <v>20</v>
      </c>
      <c r="I4" t="s">
        <v>21</v>
      </c>
      <c r="J4">
        <v>66</v>
      </c>
      <c r="K4">
        <v>146.04</v>
      </c>
      <c r="L4">
        <v>175.63</v>
      </c>
      <c r="M4" t="s">
        <v>22</v>
      </c>
      <c r="N4">
        <v>86.81</v>
      </c>
      <c r="O4">
        <v>736.46</v>
      </c>
      <c r="P4">
        <v>8</v>
      </c>
    </row>
    <row r="5" spans="1:16" x14ac:dyDescent="0.25">
      <c r="A5" t="s">
        <v>15</v>
      </c>
      <c r="B5" t="s">
        <v>16</v>
      </c>
      <c r="C5" t="s">
        <v>17</v>
      </c>
      <c r="D5">
        <v>2013</v>
      </c>
      <c r="E5" s="5">
        <f t="shared" si="0"/>
        <v>41275</v>
      </c>
      <c r="F5" t="s">
        <v>18</v>
      </c>
      <c r="G5" t="s">
        <v>26</v>
      </c>
      <c r="H5" t="s">
        <v>20</v>
      </c>
      <c r="I5" t="s">
        <v>21</v>
      </c>
      <c r="J5">
        <v>66</v>
      </c>
      <c r="K5">
        <v>142.65</v>
      </c>
      <c r="L5">
        <v>85.72</v>
      </c>
      <c r="M5" t="s">
        <v>24</v>
      </c>
      <c r="N5">
        <v>35.32</v>
      </c>
      <c r="O5">
        <v>1371.57</v>
      </c>
      <c r="P5">
        <v>10</v>
      </c>
    </row>
    <row r="6" spans="1:16" x14ac:dyDescent="0.25">
      <c r="A6" t="s">
        <v>15</v>
      </c>
      <c r="B6" t="s">
        <v>16</v>
      </c>
      <c r="C6" t="s">
        <v>17</v>
      </c>
      <c r="D6">
        <v>2013</v>
      </c>
      <c r="E6" s="5">
        <f t="shared" si="0"/>
        <v>41275</v>
      </c>
      <c r="F6" t="s">
        <v>18</v>
      </c>
      <c r="G6" t="s">
        <v>27</v>
      </c>
      <c r="H6" t="s">
        <v>20</v>
      </c>
      <c r="I6" t="s">
        <v>21</v>
      </c>
      <c r="J6">
        <v>71</v>
      </c>
      <c r="K6">
        <v>78.209999999999994</v>
      </c>
      <c r="L6">
        <v>86.64</v>
      </c>
      <c r="M6" t="s">
        <v>24</v>
      </c>
      <c r="N6">
        <v>56.58</v>
      </c>
      <c r="O6">
        <v>108.79</v>
      </c>
      <c r="P6">
        <v>14</v>
      </c>
    </row>
    <row r="7" spans="1:16" x14ac:dyDescent="0.25">
      <c r="A7" t="s">
        <v>15</v>
      </c>
      <c r="B7" t="s">
        <v>16</v>
      </c>
      <c r="C7" t="s">
        <v>17</v>
      </c>
      <c r="D7">
        <v>2013</v>
      </c>
      <c r="E7" s="5">
        <f t="shared" si="0"/>
        <v>41275</v>
      </c>
      <c r="F7" t="s">
        <v>18</v>
      </c>
      <c r="G7" t="s">
        <v>28</v>
      </c>
      <c r="H7" t="s">
        <v>20</v>
      </c>
      <c r="I7" t="s">
        <v>21</v>
      </c>
      <c r="J7">
        <v>98</v>
      </c>
      <c r="K7">
        <v>81.92</v>
      </c>
      <c r="L7">
        <v>138.46</v>
      </c>
      <c r="M7" t="s">
        <v>24</v>
      </c>
      <c r="N7">
        <v>166.73</v>
      </c>
      <c r="O7">
        <v>537.94000000000005</v>
      </c>
      <c r="P7">
        <v>11</v>
      </c>
    </row>
    <row r="8" spans="1:16" x14ac:dyDescent="0.25">
      <c r="A8" t="s">
        <v>29</v>
      </c>
      <c r="B8" t="s">
        <v>16</v>
      </c>
      <c r="C8" t="s">
        <v>17</v>
      </c>
      <c r="D8">
        <v>2008</v>
      </c>
      <c r="E8" s="5">
        <f t="shared" si="0"/>
        <v>39448</v>
      </c>
      <c r="F8" t="s">
        <v>18</v>
      </c>
      <c r="G8" t="s">
        <v>19</v>
      </c>
      <c r="H8" t="s">
        <v>20</v>
      </c>
      <c r="I8" t="s">
        <v>21</v>
      </c>
      <c r="J8">
        <v>63</v>
      </c>
      <c r="K8">
        <v>0.55000000000000004</v>
      </c>
      <c r="L8">
        <v>57.75</v>
      </c>
      <c r="M8" t="s">
        <v>22</v>
      </c>
      <c r="N8">
        <v>61.43</v>
      </c>
      <c r="O8">
        <v>30.71</v>
      </c>
      <c r="P8">
        <v>7</v>
      </c>
    </row>
    <row r="9" spans="1:16" x14ac:dyDescent="0.25">
      <c r="A9" t="s">
        <v>29</v>
      </c>
      <c r="B9" t="s">
        <v>16</v>
      </c>
      <c r="C9" t="s">
        <v>17</v>
      </c>
      <c r="D9">
        <v>2008</v>
      </c>
      <c r="E9" s="5">
        <f t="shared" si="0"/>
        <v>39448</v>
      </c>
      <c r="F9" t="s">
        <v>18</v>
      </c>
      <c r="G9" t="s">
        <v>26</v>
      </c>
      <c r="H9" t="s">
        <v>20</v>
      </c>
      <c r="I9" t="s">
        <v>21</v>
      </c>
      <c r="J9">
        <v>84</v>
      </c>
      <c r="K9">
        <v>6.39</v>
      </c>
      <c r="L9">
        <v>91.84</v>
      </c>
      <c r="M9" t="s">
        <v>22</v>
      </c>
      <c r="N9">
        <v>77.19</v>
      </c>
      <c r="O9">
        <v>38.590000000000003</v>
      </c>
      <c r="P9">
        <v>8</v>
      </c>
    </row>
    <row r="10" spans="1:16" x14ac:dyDescent="0.25">
      <c r="A10" t="s">
        <v>29</v>
      </c>
      <c r="B10" t="s">
        <v>16</v>
      </c>
      <c r="C10" t="s">
        <v>17</v>
      </c>
      <c r="D10">
        <v>2008</v>
      </c>
      <c r="E10" s="5">
        <f t="shared" si="0"/>
        <v>39448</v>
      </c>
      <c r="F10" t="s">
        <v>18</v>
      </c>
      <c r="G10" t="s">
        <v>28</v>
      </c>
      <c r="H10" t="s">
        <v>20</v>
      </c>
      <c r="I10" t="s">
        <v>21</v>
      </c>
      <c r="J10">
        <v>89</v>
      </c>
      <c r="K10">
        <v>6.39</v>
      </c>
      <c r="L10">
        <v>134</v>
      </c>
      <c r="M10" t="s">
        <v>22</v>
      </c>
      <c r="N10">
        <v>52.74</v>
      </c>
      <c r="O10">
        <v>32.97</v>
      </c>
      <c r="P10">
        <v>8</v>
      </c>
    </row>
    <row r="11" spans="1:16" x14ac:dyDescent="0.25">
      <c r="A11" t="s">
        <v>30</v>
      </c>
      <c r="B11" t="s">
        <v>31</v>
      </c>
      <c r="C11" t="s">
        <v>17</v>
      </c>
      <c r="D11">
        <v>2018</v>
      </c>
      <c r="E11" s="5">
        <f t="shared" si="0"/>
        <v>43101</v>
      </c>
      <c r="F11" t="s">
        <v>18</v>
      </c>
      <c r="G11" t="s">
        <v>23</v>
      </c>
      <c r="H11" t="s">
        <v>20</v>
      </c>
      <c r="I11" t="s">
        <v>21</v>
      </c>
      <c r="J11">
        <v>72</v>
      </c>
      <c r="K11">
        <v>140.08000000000001</v>
      </c>
      <c r="L11">
        <v>210.87</v>
      </c>
      <c r="M11" t="s">
        <v>22</v>
      </c>
      <c r="N11">
        <v>156.32</v>
      </c>
      <c r="O11">
        <v>428.85</v>
      </c>
      <c r="P11">
        <v>1</v>
      </c>
    </row>
    <row r="12" spans="1:16" x14ac:dyDescent="0.25">
      <c r="A12" t="s">
        <v>30</v>
      </c>
      <c r="B12" t="s">
        <v>31</v>
      </c>
      <c r="C12" t="s">
        <v>17</v>
      </c>
      <c r="D12">
        <v>2018</v>
      </c>
      <c r="E12" s="5">
        <f t="shared" si="0"/>
        <v>43101</v>
      </c>
      <c r="F12" t="s">
        <v>18</v>
      </c>
      <c r="G12" t="s">
        <v>25</v>
      </c>
      <c r="H12" t="s">
        <v>20</v>
      </c>
      <c r="I12" t="s">
        <v>21</v>
      </c>
      <c r="J12">
        <v>69</v>
      </c>
      <c r="K12">
        <v>50.09</v>
      </c>
      <c r="L12">
        <v>235.78</v>
      </c>
      <c r="M12" t="s">
        <v>22</v>
      </c>
      <c r="N12">
        <v>175.89</v>
      </c>
      <c r="O12">
        <v>191.95</v>
      </c>
      <c r="P12">
        <v>20</v>
      </c>
    </row>
    <row r="13" spans="1:16" x14ac:dyDescent="0.25">
      <c r="A13" t="s">
        <v>30</v>
      </c>
      <c r="B13" t="s">
        <v>31</v>
      </c>
      <c r="C13" t="s">
        <v>17</v>
      </c>
      <c r="D13">
        <v>2018</v>
      </c>
      <c r="E13" s="5">
        <f t="shared" si="0"/>
        <v>43101</v>
      </c>
      <c r="F13" t="s">
        <v>18</v>
      </c>
      <c r="G13" t="s">
        <v>27</v>
      </c>
      <c r="H13" t="s">
        <v>20</v>
      </c>
      <c r="I13" t="s">
        <v>21</v>
      </c>
      <c r="J13">
        <v>93</v>
      </c>
      <c r="K13">
        <v>132.13999999999999</v>
      </c>
      <c r="L13">
        <v>36.58</v>
      </c>
      <c r="M13" t="s">
        <v>22</v>
      </c>
      <c r="N13">
        <v>32.229999999999997</v>
      </c>
      <c r="O13">
        <v>1018.13</v>
      </c>
      <c r="P13">
        <v>17</v>
      </c>
    </row>
    <row r="14" spans="1:16" x14ac:dyDescent="0.25">
      <c r="A14" t="s">
        <v>30</v>
      </c>
      <c r="B14" t="s">
        <v>31</v>
      </c>
      <c r="C14" t="s">
        <v>17</v>
      </c>
      <c r="D14">
        <v>2018</v>
      </c>
      <c r="E14" s="5">
        <f t="shared" si="0"/>
        <v>43101</v>
      </c>
      <c r="F14" t="s">
        <v>18</v>
      </c>
      <c r="G14" t="s">
        <v>28</v>
      </c>
      <c r="H14" t="s">
        <v>20</v>
      </c>
      <c r="I14" t="s">
        <v>21</v>
      </c>
      <c r="J14">
        <v>80</v>
      </c>
      <c r="K14">
        <v>180.59</v>
      </c>
      <c r="L14">
        <v>100.45</v>
      </c>
      <c r="M14" t="s">
        <v>24</v>
      </c>
      <c r="N14">
        <v>47.77</v>
      </c>
      <c r="O14">
        <v>1801.9</v>
      </c>
      <c r="P14">
        <v>16</v>
      </c>
    </row>
    <row r="15" spans="1:16" x14ac:dyDescent="0.25">
      <c r="A15" t="s">
        <v>32</v>
      </c>
      <c r="B15" t="s">
        <v>33</v>
      </c>
      <c r="C15" t="s">
        <v>34</v>
      </c>
      <c r="D15">
        <v>2015</v>
      </c>
      <c r="E15" s="5">
        <f t="shared" si="0"/>
        <v>42005</v>
      </c>
      <c r="F15" t="s">
        <v>35</v>
      </c>
      <c r="G15" t="s">
        <v>23</v>
      </c>
      <c r="H15" t="s">
        <v>36</v>
      </c>
      <c r="I15" t="s">
        <v>21</v>
      </c>
      <c r="J15">
        <v>62</v>
      </c>
      <c r="K15">
        <v>173.61</v>
      </c>
      <c r="L15">
        <v>39.06</v>
      </c>
      <c r="M15" t="s">
        <v>24</v>
      </c>
      <c r="N15">
        <v>36.200000000000003</v>
      </c>
      <c r="O15">
        <v>1236.8599999999999</v>
      </c>
      <c r="P15">
        <v>19</v>
      </c>
    </row>
    <row r="16" spans="1:16" x14ac:dyDescent="0.25">
      <c r="A16" t="s">
        <v>32</v>
      </c>
      <c r="B16" t="s">
        <v>33</v>
      </c>
      <c r="C16" t="s">
        <v>34</v>
      </c>
      <c r="D16">
        <v>2015</v>
      </c>
      <c r="E16" s="5">
        <f t="shared" si="0"/>
        <v>42005</v>
      </c>
      <c r="F16" t="s">
        <v>35</v>
      </c>
      <c r="G16" t="s">
        <v>25</v>
      </c>
      <c r="H16" t="s">
        <v>36</v>
      </c>
      <c r="I16" t="s">
        <v>21</v>
      </c>
      <c r="J16">
        <v>82</v>
      </c>
      <c r="K16">
        <v>82.51</v>
      </c>
      <c r="L16">
        <v>249.03</v>
      </c>
      <c r="M16" t="s">
        <v>24</v>
      </c>
      <c r="N16">
        <v>108.18</v>
      </c>
      <c r="O16">
        <v>803.62</v>
      </c>
      <c r="P16">
        <v>0</v>
      </c>
    </row>
    <row r="17" spans="1:16" x14ac:dyDescent="0.25">
      <c r="A17" t="s">
        <v>32</v>
      </c>
      <c r="B17" t="s">
        <v>33</v>
      </c>
      <c r="C17" t="s">
        <v>34</v>
      </c>
      <c r="D17">
        <v>2015</v>
      </c>
      <c r="E17" s="5">
        <f t="shared" si="0"/>
        <v>42005</v>
      </c>
      <c r="F17" t="s">
        <v>35</v>
      </c>
      <c r="G17" t="s">
        <v>27</v>
      </c>
      <c r="H17" t="s">
        <v>36</v>
      </c>
      <c r="I17" t="s">
        <v>21</v>
      </c>
      <c r="J17">
        <v>84</v>
      </c>
      <c r="K17">
        <v>31.76</v>
      </c>
      <c r="L17">
        <v>221.31</v>
      </c>
      <c r="M17" t="s">
        <v>24</v>
      </c>
      <c r="N17">
        <v>151.41999999999999</v>
      </c>
      <c r="O17">
        <v>251.46</v>
      </c>
      <c r="P17">
        <v>10</v>
      </c>
    </row>
    <row r="18" spans="1:16" x14ac:dyDescent="0.25">
      <c r="A18" t="s">
        <v>32</v>
      </c>
      <c r="B18" t="s">
        <v>33</v>
      </c>
      <c r="C18" t="s">
        <v>34</v>
      </c>
      <c r="D18">
        <v>2015</v>
      </c>
      <c r="E18" s="5">
        <f t="shared" si="0"/>
        <v>42005</v>
      </c>
      <c r="F18" t="s">
        <v>35</v>
      </c>
      <c r="G18" t="s">
        <v>37</v>
      </c>
      <c r="H18" t="s">
        <v>36</v>
      </c>
      <c r="I18" t="s">
        <v>21</v>
      </c>
      <c r="J18">
        <v>77</v>
      </c>
      <c r="K18">
        <v>92.61</v>
      </c>
      <c r="L18">
        <v>113.98</v>
      </c>
      <c r="M18" t="s">
        <v>24</v>
      </c>
      <c r="N18">
        <v>190.99</v>
      </c>
      <c r="O18">
        <v>822.62</v>
      </c>
      <c r="P18">
        <v>8</v>
      </c>
    </row>
    <row r="19" spans="1:16" x14ac:dyDescent="0.25">
      <c r="A19" t="s">
        <v>32</v>
      </c>
      <c r="B19" t="s">
        <v>33</v>
      </c>
      <c r="C19" t="s">
        <v>34</v>
      </c>
      <c r="D19">
        <v>2015</v>
      </c>
      <c r="E19" s="5">
        <f t="shared" si="0"/>
        <v>42005</v>
      </c>
      <c r="F19" t="s">
        <v>35</v>
      </c>
      <c r="G19" t="s">
        <v>28</v>
      </c>
      <c r="H19" t="s">
        <v>36</v>
      </c>
      <c r="I19" t="s">
        <v>21</v>
      </c>
      <c r="J19">
        <v>92</v>
      </c>
      <c r="K19">
        <v>43.94</v>
      </c>
      <c r="L19">
        <v>228.24</v>
      </c>
      <c r="M19" t="s">
        <v>24</v>
      </c>
      <c r="N19">
        <v>174.75</v>
      </c>
      <c r="O19">
        <v>161.96</v>
      </c>
      <c r="P19">
        <v>20</v>
      </c>
    </row>
    <row r="20" spans="1:16" x14ac:dyDescent="0.25">
      <c r="A20" t="s">
        <v>38</v>
      </c>
      <c r="B20" t="s">
        <v>33</v>
      </c>
      <c r="C20" t="s">
        <v>34</v>
      </c>
      <c r="D20">
        <v>2020</v>
      </c>
      <c r="E20" s="5">
        <f t="shared" si="0"/>
        <v>43831</v>
      </c>
      <c r="F20" t="s">
        <v>35</v>
      </c>
      <c r="G20" t="s">
        <v>23</v>
      </c>
      <c r="H20" t="s">
        <v>36</v>
      </c>
      <c r="I20" t="s">
        <v>21</v>
      </c>
      <c r="J20">
        <v>79</v>
      </c>
      <c r="K20">
        <v>2.0699999999999998</v>
      </c>
      <c r="L20">
        <v>94.1</v>
      </c>
      <c r="M20" t="s">
        <v>24</v>
      </c>
      <c r="N20">
        <v>36.5</v>
      </c>
      <c r="O20">
        <v>19.829999999999998</v>
      </c>
      <c r="P20">
        <v>16</v>
      </c>
    </row>
    <row r="21" spans="1:16" x14ac:dyDescent="0.25">
      <c r="A21" t="s">
        <v>38</v>
      </c>
      <c r="B21" t="s">
        <v>33</v>
      </c>
      <c r="C21" t="s">
        <v>34</v>
      </c>
      <c r="D21">
        <v>2020</v>
      </c>
      <c r="E21" s="5">
        <f t="shared" si="0"/>
        <v>43831</v>
      </c>
      <c r="F21" t="s">
        <v>35</v>
      </c>
      <c r="G21" t="s">
        <v>25</v>
      </c>
      <c r="H21" t="s">
        <v>36</v>
      </c>
      <c r="I21" t="s">
        <v>21</v>
      </c>
      <c r="J21">
        <v>82</v>
      </c>
      <c r="K21">
        <v>3.31</v>
      </c>
      <c r="L21">
        <v>5.85</v>
      </c>
      <c r="M21" t="s">
        <v>24</v>
      </c>
      <c r="N21">
        <v>186.17</v>
      </c>
      <c r="O21">
        <v>93.08</v>
      </c>
      <c r="P21">
        <v>9</v>
      </c>
    </row>
    <row r="22" spans="1:16" x14ac:dyDescent="0.25">
      <c r="A22" t="s">
        <v>38</v>
      </c>
      <c r="B22" t="s">
        <v>33</v>
      </c>
      <c r="C22" t="s">
        <v>34</v>
      </c>
      <c r="D22">
        <v>2020</v>
      </c>
      <c r="E22" s="5">
        <f t="shared" si="0"/>
        <v>43831</v>
      </c>
      <c r="F22" t="s">
        <v>35</v>
      </c>
      <c r="G22" t="s">
        <v>27</v>
      </c>
      <c r="H22" t="s">
        <v>36</v>
      </c>
      <c r="I22" t="s">
        <v>21</v>
      </c>
      <c r="J22">
        <v>69</v>
      </c>
      <c r="K22">
        <v>2.48</v>
      </c>
      <c r="L22">
        <v>142.27000000000001</v>
      </c>
      <c r="M22" t="s">
        <v>24</v>
      </c>
      <c r="N22">
        <v>20.36</v>
      </c>
      <c r="O22">
        <v>18.82</v>
      </c>
      <c r="P22">
        <v>2</v>
      </c>
    </row>
    <row r="23" spans="1:16" x14ac:dyDescent="0.25">
      <c r="A23" t="s">
        <v>38</v>
      </c>
      <c r="B23" t="s">
        <v>33</v>
      </c>
      <c r="C23" t="s">
        <v>34</v>
      </c>
      <c r="D23">
        <v>2020</v>
      </c>
      <c r="E23" s="5">
        <f t="shared" si="0"/>
        <v>43831</v>
      </c>
      <c r="F23" t="s">
        <v>35</v>
      </c>
      <c r="G23" t="s">
        <v>39</v>
      </c>
      <c r="H23" t="s">
        <v>36</v>
      </c>
      <c r="I23" t="s">
        <v>21</v>
      </c>
      <c r="J23">
        <v>93</v>
      </c>
      <c r="K23">
        <v>1.35</v>
      </c>
      <c r="L23">
        <v>165.28</v>
      </c>
      <c r="M23" t="s">
        <v>24</v>
      </c>
      <c r="N23">
        <v>189.64</v>
      </c>
      <c r="O23">
        <v>94.82</v>
      </c>
      <c r="P23">
        <v>16</v>
      </c>
    </row>
    <row r="24" spans="1:16" x14ac:dyDescent="0.25">
      <c r="A24" t="s">
        <v>38</v>
      </c>
      <c r="B24" t="s">
        <v>33</v>
      </c>
      <c r="C24" t="s">
        <v>34</v>
      </c>
      <c r="D24">
        <v>2020</v>
      </c>
      <c r="E24" s="5">
        <f t="shared" si="0"/>
        <v>43831</v>
      </c>
      <c r="F24" t="s">
        <v>35</v>
      </c>
      <c r="G24" t="s">
        <v>28</v>
      </c>
      <c r="H24" t="s">
        <v>36</v>
      </c>
      <c r="I24" t="s">
        <v>21</v>
      </c>
      <c r="J24">
        <v>79</v>
      </c>
      <c r="K24">
        <v>9.65</v>
      </c>
      <c r="L24">
        <v>232.3</v>
      </c>
      <c r="M24" t="s">
        <v>24</v>
      </c>
      <c r="N24">
        <v>152.28</v>
      </c>
      <c r="O24">
        <v>76.14</v>
      </c>
      <c r="P24">
        <v>9</v>
      </c>
    </row>
    <row r="25" spans="1:16" x14ac:dyDescent="0.25">
      <c r="A25" t="s">
        <v>40</v>
      </c>
      <c r="B25" t="s">
        <v>41</v>
      </c>
      <c r="C25" t="s">
        <v>42</v>
      </c>
      <c r="D25">
        <v>2020</v>
      </c>
      <c r="E25" s="5">
        <f t="shared" si="0"/>
        <v>43831</v>
      </c>
      <c r="F25" t="s">
        <v>35</v>
      </c>
      <c r="G25" t="s">
        <v>23</v>
      </c>
      <c r="H25" t="s">
        <v>43</v>
      </c>
      <c r="I25" t="s">
        <v>21</v>
      </c>
      <c r="J25">
        <v>82</v>
      </c>
      <c r="K25">
        <v>26.7</v>
      </c>
      <c r="L25">
        <v>110.09</v>
      </c>
      <c r="M25" t="s">
        <v>24</v>
      </c>
      <c r="N25">
        <v>105.93</v>
      </c>
      <c r="O25">
        <v>55.78</v>
      </c>
      <c r="P25">
        <v>7</v>
      </c>
    </row>
    <row r="26" spans="1:16" x14ac:dyDescent="0.25">
      <c r="A26" t="s">
        <v>40</v>
      </c>
      <c r="B26" t="s">
        <v>41</v>
      </c>
      <c r="C26" t="s">
        <v>42</v>
      </c>
      <c r="D26">
        <v>2020</v>
      </c>
      <c r="E26" s="5">
        <f t="shared" si="0"/>
        <v>43831</v>
      </c>
      <c r="F26" t="s">
        <v>35</v>
      </c>
      <c r="G26" t="s">
        <v>25</v>
      </c>
      <c r="H26" t="s">
        <v>43</v>
      </c>
      <c r="I26" t="s">
        <v>21</v>
      </c>
      <c r="J26">
        <v>70</v>
      </c>
      <c r="K26">
        <v>2.8</v>
      </c>
      <c r="L26">
        <v>138.93</v>
      </c>
      <c r="M26" t="s">
        <v>24</v>
      </c>
      <c r="N26">
        <v>119.75</v>
      </c>
      <c r="O26">
        <v>59.88</v>
      </c>
      <c r="P26">
        <v>20</v>
      </c>
    </row>
    <row r="27" spans="1:16" x14ac:dyDescent="0.25">
      <c r="A27" t="s">
        <v>40</v>
      </c>
      <c r="B27" t="s">
        <v>41</v>
      </c>
      <c r="C27" t="s">
        <v>42</v>
      </c>
      <c r="D27">
        <v>2020</v>
      </c>
      <c r="E27" s="5">
        <f t="shared" si="0"/>
        <v>43831</v>
      </c>
      <c r="F27" t="s">
        <v>35</v>
      </c>
      <c r="G27" t="s">
        <v>27</v>
      </c>
      <c r="H27" t="s">
        <v>43</v>
      </c>
      <c r="I27" t="s">
        <v>21</v>
      </c>
      <c r="J27">
        <v>77</v>
      </c>
      <c r="K27">
        <v>4.5599999999999996</v>
      </c>
      <c r="L27">
        <v>8.82</v>
      </c>
      <c r="M27" t="s">
        <v>24</v>
      </c>
      <c r="N27">
        <v>69.430000000000007</v>
      </c>
      <c r="O27">
        <v>34.72</v>
      </c>
      <c r="P27">
        <v>8</v>
      </c>
    </row>
    <row r="28" spans="1:16" x14ac:dyDescent="0.25">
      <c r="A28" t="s">
        <v>40</v>
      </c>
      <c r="B28" t="s">
        <v>41</v>
      </c>
      <c r="C28" t="s">
        <v>42</v>
      </c>
      <c r="D28">
        <v>2020</v>
      </c>
      <c r="E28" s="5">
        <f t="shared" si="0"/>
        <v>43831</v>
      </c>
      <c r="F28" t="s">
        <v>35</v>
      </c>
      <c r="G28" t="s">
        <v>39</v>
      </c>
      <c r="H28" t="s">
        <v>43</v>
      </c>
      <c r="I28" t="s">
        <v>21</v>
      </c>
      <c r="J28">
        <v>78</v>
      </c>
      <c r="K28">
        <v>10.14</v>
      </c>
      <c r="L28">
        <v>33.950000000000003</v>
      </c>
      <c r="M28" t="s">
        <v>24</v>
      </c>
      <c r="N28">
        <v>187.43</v>
      </c>
      <c r="O28">
        <v>93.72</v>
      </c>
      <c r="P28">
        <v>15</v>
      </c>
    </row>
    <row r="29" spans="1:16" x14ac:dyDescent="0.25">
      <c r="A29" t="s">
        <v>40</v>
      </c>
      <c r="B29" t="s">
        <v>41</v>
      </c>
      <c r="C29" t="s">
        <v>42</v>
      </c>
      <c r="D29">
        <v>2020</v>
      </c>
      <c r="E29" s="5">
        <f t="shared" si="0"/>
        <v>43831</v>
      </c>
      <c r="F29" t="s">
        <v>35</v>
      </c>
      <c r="G29" t="s">
        <v>28</v>
      </c>
      <c r="H29" t="s">
        <v>43</v>
      </c>
      <c r="I29" t="s">
        <v>21</v>
      </c>
      <c r="J29">
        <v>91</v>
      </c>
      <c r="K29">
        <v>19.97</v>
      </c>
      <c r="L29">
        <v>102.36</v>
      </c>
      <c r="M29" t="s">
        <v>24</v>
      </c>
      <c r="N29">
        <v>23.39</v>
      </c>
      <c r="O29">
        <v>138.41</v>
      </c>
      <c r="P29">
        <v>11</v>
      </c>
    </row>
    <row r="30" spans="1:16" x14ac:dyDescent="0.25">
      <c r="A30" t="s">
        <v>44</v>
      </c>
      <c r="B30" t="s">
        <v>45</v>
      </c>
      <c r="C30" t="s">
        <v>42</v>
      </c>
      <c r="D30">
        <v>2018</v>
      </c>
      <c r="E30" s="5">
        <f t="shared" si="0"/>
        <v>43101</v>
      </c>
      <c r="F30" t="s">
        <v>35</v>
      </c>
      <c r="G30" t="s">
        <v>23</v>
      </c>
      <c r="H30" t="s">
        <v>43</v>
      </c>
      <c r="I30" t="s">
        <v>21</v>
      </c>
      <c r="J30">
        <v>73</v>
      </c>
      <c r="K30">
        <v>19.75</v>
      </c>
      <c r="L30">
        <v>182.54</v>
      </c>
      <c r="M30" t="s">
        <v>24</v>
      </c>
      <c r="N30">
        <v>136.31</v>
      </c>
      <c r="O30">
        <v>194.69</v>
      </c>
      <c r="P30">
        <v>3</v>
      </c>
    </row>
    <row r="31" spans="1:16" x14ac:dyDescent="0.25">
      <c r="A31" t="s">
        <v>44</v>
      </c>
      <c r="B31" t="s">
        <v>45</v>
      </c>
      <c r="C31" t="s">
        <v>42</v>
      </c>
      <c r="D31">
        <v>2018</v>
      </c>
      <c r="E31" s="5">
        <f t="shared" si="0"/>
        <v>43101</v>
      </c>
      <c r="F31" t="s">
        <v>35</v>
      </c>
      <c r="G31" t="s">
        <v>27</v>
      </c>
      <c r="H31" t="s">
        <v>43</v>
      </c>
      <c r="I31" t="s">
        <v>21</v>
      </c>
      <c r="J31">
        <v>79</v>
      </c>
      <c r="K31">
        <v>29.67</v>
      </c>
      <c r="L31">
        <v>200.35</v>
      </c>
      <c r="M31" t="s">
        <v>24</v>
      </c>
      <c r="N31">
        <v>26.31</v>
      </c>
      <c r="O31">
        <v>80.83</v>
      </c>
      <c r="P31">
        <v>17</v>
      </c>
    </row>
    <row r="32" spans="1:16" x14ac:dyDescent="0.25">
      <c r="A32" t="s">
        <v>44</v>
      </c>
      <c r="B32" t="s">
        <v>45</v>
      </c>
      <c r="C32" t="s">
        <v>42</v>
      </c>
      <c r="D32">
        <v>2018</v>
      </c>
      <c r="E32" s="5">
        <f t="shared" si="0"/>
        <v>43101</v>
      </c>
      <c r="F32" t="s">
        <v>35</v>
      </c>
      <c r="G32" t="s">
        <v>28</v>
      </c>
      <c r="H32" t="s">
        <v>43</v>
      </c>
      <c r="I32" t="s">
        <v>21</v>
      </c>
      <c r="J32">
        <v>72</v>
      </c>
      <c r="K32">
        <v>18.03</v>
      </c>
      <c r="L32">
        <v>70.36</v>
      </c>
      <c r="M32" t="s">
        <v>24</v>
      </c>
      <c r="N32">
        <v>53.71</v>
      </c>
      <c r="O32">
        <v>167.85</v>
      </c>
      <c r="P32">
        <v>14</v>
      </c>
    </row>
    <row r="33" spans="1:16" x14ac:dyDescent="0.25">
      <c r="A33" t="s">
        <v>46</v>
      </c>
      <c r="B33" t="s">
        <v>41</v>
      </c>
      <c r="C33" t="s">
        <v>42</v>
      </c>
      <c r="D33">
        <v>2017</v>
      </c>
      <c r="E33" s="5">
        <f t="shared" si="0"/>
        <v>42736</v>
      </c>
      <c r="F33" t="s">
        <v>35</v>
      </c>
      <c r="G33" t="s">
        <v>23</v>
      </c>
      <c r="H33" t="s">
        <v>43</v>
      </c>
      <c r="I33" t="s">
        <v>21</v>
      </c>
      <c r="J33">
        <v>65</v>
      </c>
      <c r="K33">
        <v>3.92</v>
      </c>
      <c r="L33">
        <v>249.82</v>
      </c>
      <c r="M33" t="s">
        <v>24</v>
      </c>
      <c r="N33">
        <v>168.03</v>
      </c>
      <c r="O33">
        <v>84.02</v>
      </c>
      <c r="P33">
        <v>7</v>
      </c>
    </row>
    <row r="34" spans="1:16" x14ac:dyDescent="0.25">
      <c r="A34" t="s">
        <v>46</v>
      </c>
      <c r="B34" t="s">
        <v>41</v>
      </c>
      <c r="C34" t="s">
        <v>42</v>
      </c>
      <c r="D34">
        <v>2017</v>
      </c>
      <c r="E34" s="5">
        <f t="shared" si="0"/>
        <v>42736</v>
      </c>
      <c r="F34" t="s">
        <v>35</v>
      </c>
      <c r="G34" t="s">
        <v>27</v>
      </c>
      <c r="H34" t="s">
        <v>43</v>
      </c>
      <c r="I34" t="s">
        <v>21</v>
      </c>
      <c r="J34">
        <v>73</v>
      </c>
      <c r="K34">
        <v>20.45</v>
      </c>
      <c r="L34">
        <v>54.22</v>
      </c>
      <c r="M34" t="s">
        <v>24</v>
      </c>
      <c r="N34">
        <v>83.2</v>
      </c>
      <c r="O34">
        <v>41.6</v>
      </c>
      <c r="P34">
        <v>12</v>
      </c>
    </row>
    <row r="35" spans="1:16" x14ac:dyDescent="0.25">
      <c r="A35" t="s">
        <v>46</v>
      </c>
      <c r="B35" t="s">
        <v>41</v>
      </c>
      <c r="C35" t="s">
        <v>42</v>
      </c>
      <c r="D35">
        <v>2017</v>
      </c>
      <c r="E35" s="5">
        <f t="shared" si="0"/>
        <v>42736</v>
      </c>
      <c r="F35" t="s">
        <v>35</v>
      </c>
      <c r="G35" t="s">
        <v>28</v>
      </c>
      <c r="H35" t="s">
        <v>43</v>
      </c>
      <c r="I35" t="s">
        <v>21</v>
      </c>
      <c r="J35">
        <v>82</v>
      </c>
      <c r="K35">
        <v>12.08</v>
      </c>
      <c r="L35">
        <v>196.23</v>
      </c>
      <c r="M35" t="s">
        <v>24</v>
      </c>
      <c r="N35">
        <v>93.73</v>
      </c>
      <c r="O35">
        <v>58.07</v>
      </c>
      <c r="P35">
        <v>17</v>
      </c>
    </row>
    <row r="36" spans="1:16" x14ac:dyDescent="0.25">
      <c r="A36" t="s">
        <v>47</v>
      </c>
      <c r="B36" t="s">
        <v>48</v>
      </c>
      <c r="C36" t="s">
        <v>49</v>
      </c>
      <c r="D36">
        <v>2017</v>
      </c>
      <c r="E36" s="5">
        <f t="shared" si="0"/>
        <v>42736</v>
      </c>
      <c r="F36" t="s">
        <v>35</v>
      </c>
      <c r="G36" t="s">
        <v>23</v>
      </c>
      <c r="H36" t="s">
        <v>50</v>
      </c>
      <c r="I36" t="s">
        <v>51</v>
      </c>
      <c r="J36">
        <v>82</v>
      </c>
      <c r="K36">
        <v>4.92</v>
      </c>
      <c r="L36">
        <v>48.28</v>
      </c>
      <c r="M36" t="s">
        <v>24</v>
      </c>
      <c r="N36">
        <v>47.45</v>
      </c>
      <c r="O36">
        <v>23.73</v>
      </c>
      <c r="P36">
        <v>17</v>
      </c>
    </row>
    <row r="37" spans="1:16" x14ac:dyDescent="0.25">
      <c r="A37" t="s">
        <v>47</v>
      </c>
      <c r="B37" t="s">
        <v>48</v>
      </c>
      <c r="C37" t="s">
        <v>49</v>
      </c>
      <c r="D37">
        <v>2017</v>
      </c>
      <c r="E37" s="5">
        <f t="shared" si="0"/>
        <v>42736</v>
      </c>
      <c r="F37" t="s">
        <v>35</v>
      </c>
      <c r="G37" t="s">
        <v>28</v>
      </c>
      <c r="H37" t="s">
        <v>50</v>
      </c>
      <c r="I37" t="s">
        <v>51</v>
      </c>
      <c r="J37">
        <v>85</v>
      </c>
      <c r="K37">
        <v>3.2</v>
      </c>
      <c r="L37">
        <v>13.49</v>
      </c>
      <c r="M37" t="s">
        <v>24</v>
      </c>
      <c r="N37">
        <v>97.97</v>
      </c>
      <c r="O37">
        <v>48.98</v>
      </c>
      <c r="P37">
        <v>16</v>
      </c>
    </row>
    <row r="38" spans="1:16" x14ac:dyDescent="0.25">
      <c r="A38" t="s">
        <v>52</v>
      </c>
      <c r="B38" t="s">
        <v>48</v>
      </c>
      <c r="C38" t="s">
        <v>49</v>
      </c>
      <c r="D38">
        <v>2022</v>
      </c>
      <c r="E38" s="5">
        <f t="shared" si="0"/>
        <v>44562</v>
      </c>
      <c r="F38" t="s">
        <v>35</v>
      </c>
      <c r="G38" t="s">
        <v>23</v>
      </c>
      <c r="H38" t="s">
        <v>50</v>
      </c>
      <c r="I38" t="s">
        <v>51</v>
      </c>
      <c r="J38">
        <v>67</v>
      </c>
      <c r="K38">
        <v>9.61</v>
      </c>
      <c r="L38">
        <v>20.95</v>
      </c>
      <c r="M38" t="s">
        <v>24</v>
      </c>
      <c r="N38">
        <v>41.24</v>
      </c>
      <c r="O38">
        <v>61.07</v>
      </c>
      <c r="P38">
        <v>7</v>
      </c>
    </row>
    <row r="39" spans="1:16" x14ac:dyDescent="0.25">
      <c r="A39" t="s">
        <v>52</v>
      </c>
      <c r="B39" t="s">
        <v>48</v>
      </c>
      <c r="C39" t="s">
        <v>49</v>
      </c>
      <c r="D39">
        <v>2022</v>
      </c>
      <c r="E39" s="5">
        <f t="shared" si="0"/>
        <v>44562</v>
      </c>
      <c r="F39" t="s">
        <v>35</v>
      </c>
      <c r="G39" t="s">
        <v>25</v>
      </c>
      <c r="H39" t="s">
        <v>50</v>
      </c>
      <c r="I39" t="s">
        <v>51</v>
      </c>
      <c r="J39">
        <v>69</v>
      </c>
      <c r="K39">
        <v>9.42</v>
      </c>
      <c r="L39">
        <v>142.85</v>
      </c>
      <c r="M39" t="s">
        <v>24</v>
      </c>
      <c r="N39">
        <v>117.89</v>
      </c>
      <c r="O39">
        <v>58.95</v>
      </c>
      <c r="P39">
        <v>2</v>
      </c>
    </row>
    <row r="40" spans="1:16" x14ac:dyDescent="0.25">
      <c r="A40" t="s">
        <v>53</v>
      </c>
      <c r="B40" t="s">
        <v>54</v>
      </c>
      <c r="C40" t="s">
        <v>55</v>
      </c>
      <c r="D40">
        <v>2011</v>
      </c>
      <c r="E40" s="5">
        <f t="shared" si="0"/>
        <v>40544</v>
      </c>
      <c r="F40" t="s">
        <v>35</v>
      </c>
      <c r="G40" t="s">
        <v>19</v>
      </c>
      <c r="H40" t="s">
        <v>56</v>
      </c>
      <c r="I40" t="s">
        <v>51</v>
      </c>
      <c r="J40">
        <v>84</v>
      </c>
      <c r="K40">
        <v>5.88</v>
      </c>
      <c r="L40">
        <v>131.16999999999999</v>
      </c>
      <c r="M40" t="s">
        <v>24</v>
      </c>
      <c r="N40">
        <v>187.27</v>
      </c>
      <c r="O40">
        <v>93.64</v>
      </c>
      <c r="P40">
        <v>10</v>
      </c>
    </row>
    <row r="41" spans="1:16" x14ac:dyDescent="0.25">
      <c r="A41" t="s">
        <v>53</v>
      </c>
      <c r="B41" t="s">
        <v>54</v>
      </c>
      <c r="C41" t="s">
        <v>55</v>
      </c>
      <c r="D41">
        <v>2011</v>
      </c>
      <c r="E41" s="5">
        <f t="shared" si="0"/>
        <v>40544</v>
      </c>
      <c r="F41" t="s">
        <v>35</v>
      </c>
      <c r="G41" t="s">
        <v>23</v>
      </c>
      <c r="H41" t="s">
        <v>56</v>
      </c>
      <c r="I41" t="s">
        <v>51</v>
      </c>
      <c r="J41">
        <v>68</v>
      </c>
      <c r="K41">
        <v>4.0199999999999996</v>
      </c>
      <c r="L41">
        <v>168.25</v>
      </c>
      <c r="M41" t="s">
        <v>24</v>
      </c>
      <c r="N41">
        <v>63.5</v>
      </c>
      <c r="O41">
        <v>31.75</v>
      </c>
      <c r="P41">
        <v>2</v>
      </c>
    </row>
    <row r="42" spans="1:16" x14ac:dyDescent="0.25">
      <c r="A42" t="s">
        <v>53</v>
      </c>
      <c r="B42" t="s">
        <v>54</v>
      </c>
      <c r="C42" t="s">
        <v>55</v>
      </c>
      <c r="D42">
        <v>2011</v>
      </c>
      <c r="E42" s="5">
        <f t="shared" si="0"/>
        <v>40544</v>
      </c>
      <c r="F42" t="s">
        <v>35</v>
      </c>
      <c r="G42" t="s">
        <v>25</v>
      </c>
      <c r="H42" t="s">
        <v>56</v>
      </c>
      <c r="I42" t="s">
        <v>51</v>
      </c>
      <c r="J42">
        <v>78</v>
      </c>
      <c r="K42">
        <v>6.25</v>
      </c>
      <c r="L42">
        <v>141.19</v>
      </c>
      <c r="M42" t="s">
        <v>24</v>
      </c>
      <c r="N42">
        <v>24.5</v>
      </c>
      <c r="O42">
        <v>36.49</v>
      </c>
      <c r="P42">
        <v>16</v>
      </c>
    </row>
    <row r="43" spans="1:16" x14ac:dyDescent="0.25">
      <c r="A43" t="s">
        <v>53</v>
      </c>
      <c r="B43" t="s">
        <v>54</v>
      </c>
      <c r="C43" t="s">
        <v>55</v>
      </c>
      <c r="D43">
        <v>2011</v>
      </c>
      <c r="E43" s="5">
        <f t="shared" si="0"/>
        <v>40544</v>
      </c>
      <c r="F43" t="s">
        <v>35</v>
      </c>
      <c r="G43" t="s">
        <v>26</v>
      </c>
      <c r="H43" t="s">
        <v>56</v>
      </c>
      <c r="I43" t="s">
        <v>51</v>
      </c>
      <c r="J43">
        <v>71</v>
      </c>
      <c r="K43">
        <v>9.34</v>
      </c>
      <c r="L43">
        <v>220.34</v>
      </c>
      <c r="M43" t="s">
        <v>24</v>
      </c>
      <c r="N43">
        <v>176.46</v>
      </c>
      <c r="O43">
        <v>88.23</v>
      </c>
      <c r="P43">
        <v>5</v>
      </c>
    </row>
    <row r="44" spans="1:16" x14ac:dyDescent="0.25">
      <c r="A44" t="s">
        <v>53</v>
      </c>
      <c r="B44" t="s">
        <v>54</v>
      </c>
      <c r="C44" t="s">
        <v>55</v>
      </c>
      <c r="D44">
        <v>2011</v>
      </c>
      <c r="E44" s="5">
        <f t="shared" si="0"/>
        <v>40544</v>
      </c>
      <c r="F44" t="s">
        <v>35</v>
      </c>
      <c r="G44" t="s">
        <v>27</v>
      </c>
      <c r="H44" t="s">
        <v>56</v>
      </c>
      <c r="I44" t="s">
        <v>51</v>
      </c>
      <c r="J44">
        <v>86</v>
      </c>
      <c r="K44">
        <v>5.48</v>
      </c>
      <c r="L44">
        <v>76.33</v>
      </c>
      <c r="M44" t="s">
        <v>24</v>
      </c>
      <c r="N44">
        <v>196.85</v>
      </c>
      <c r="O44">
        <v>98.42</v>
      </c>
      <c r="P44">
        <v>16</v>
      </c>
    </row>
    <row r="45" spans="1:16" x14ac:dyDescent="0.25">
      <c r="A45" t="s">
        <v>53</v>
      </c>
      <c r="B45" t="s">
        <v>54</v>
      </c>
      <c r="C45" t="s">
        <v>55</v>
      </c>
      <c r="D45">
        <v>2011</v>
      </c>
      <c r="E45" s="5">
        <f t="shared" si="0"/>
        <v>40544</v>
      </c>
      <c r="F45" t="s">
        <v>35</v>
      </c>
      <c r="G45" t="s">
        <v>37</v>
      </c>
      <c r="H45" t="s">
        <v>56</v>
      </c>
      <c r="I45" t="s">
        <v>51</v>
      </c>
      <c r="J45">
        <v>85</v>
      </c>
      <c r="K45">
        <v>8.19</v>
      </c>
      <c r="L45">
        <v>75.55</v>
      </c>
      <c r="M45" t="s">
        <v>24</v>
      </c>
      <c r="N45">
        <v>134.36000000000001</v>
      </c>
      <c r="O45">
        <v>77.400000000000006</v>
      </c>
      <c r="P45">
        <v>4</v>
      </c>
    </row>
    <row r="46" spans="1:16" x14ac:dyDescent="0.25">
      <c r="A46" t="s">
        <v>53</v>
      </c>
      <c r="B46" t="s">
        <v>54</v>
      </c>
      <c r="C46" t="s">
        <v>55</v>
      </c>
      <c r="D46">
        <v>2011</v>
      </c>
      <c r="E46" s="5">
        <f t="shared" si="0"/>
        <v>40544</v>
      </c>
      <c r="F46" t="s">
        <v>35</v>
      </c>
      <c r="G46" t="s">
        <v>28</v>
      </c>
      <c r="H46" t="s">
        <v>56</v>
      </c>
      <c r="I46" t="s">
        <v>51</v>
      </c>
      <c r="J46">
        <v>68</v>
      </c>
      <c r="K46">
        <v>8.91</v>
      </c>
      <c r="L46">
        <v>185.86</v>
      </c>
      <c r="M46" t="s">
        <v>24</v>
      </c>
      <c r="N46">
        <v>35.31</v>
      </c>
      <c r="O46">
        <v>31.5</v>
      </c>
      <c r="P46">
        <v>6</v>
      </c>
    </row>
    <row r="47" spans="1:16" x14ac:dyDescent="0.25">
      <c r="A47" t="s">
        <v>57</v>
      </c>
      <c r="B47" t="s">
        <v>54</v>
      </c>
      <c r="C47" t="s">
        <v>55</v>
      </c>
      <c r="D47">
        <v>2015</v>
      </c>
      <c r="E47" s="5">
        <f t="shared" si="0"/>
        <v>42005</v>
      </c>
      <c r="F47" t="s">
        <v>35</v>
      </c>
      <c r="G47" t="s">
        <v>23</v>
      </c>
      <c r="H47" t="s">
        <v>56</v>
      </c>
      <c r="I47" t="s">
        <v>21</v>
      </c>
      <c r="J47">
        <v>67</v>
      </c>
      <c r="K47">
        <v>6.91</v>
      </c>
      <c r="L47">
        <v>213.38</v>
      </c>
      <c r="M47" t="s">
        <v>24</v>
      </c>
      <c r="N47">
        <v>103.55</v>
      </c>
      <c r="O47">
        <v>51.77</v>
      </c>
      <c r="P47">
        <v>1</v>
      </c>
    </row>
    <row r="48" spans="1:16" x14ac:dyDescent="0.25">
      <c r="A48" t="s">
        <v>57</v>
      </c>
      <c r="B48" t="s">
        <v>54</v>
      </c>
      <c r="C48" t="s">
        <v>55</v>
      </c>
      <c r="D48">
        <v>2015</v>
      </c>
      <c r="E48" s="5">
        <f t="shared" si="0"/>
        <v>42005</v>
      </c>
      <c r="F48" t="s">
        <v>35</v>
      </c>
      <c r="G48" t="s">
        <v>27</v>
      </c>
      <c r="H48" t="s">
        <v>56</v>
      </c>
      <c r="I48" t="s">
        <v>21</v>
      </c>
      <c r="J48">
        <v>84</v>
      </c>
      <c r="K48">
        <v>4.29</v>
      </c>
      <c r="L48">
        <v>69.89</v>
      </c>
      <c r="M48" t="s">
        <v>24</v>
      </c>
      <c r="N48">
        <v>5.69</v>
      </c>
      <c r="O48">
        <v>34.06</v>
      </c>
      <c r="P48">
        <v>20</v>
      </c>
    </row>
    <row r="49" spans="1:16" x14ac:dyDescent="0.25">
      <c r="A49" t="s">
        <v>57</v>
      </c>
      <c r="B49" t="s">
        <v>54</v>
      </c>
      <c r="C49" t="s">
        <v>55</v>
      </c>
      <c r="D49">
        <v>2015</v>
      </c>
      <c r="E49" s="5">
        <f t="shared" si="0"/>
        <v>42005</v>
      </c>
      <c r="F49" t="s">
        <v>35</v>
      </c>
      <c r="G49" t="s">
        <v>28</v>
      </c>
      <c r="H49" t="s">
        <v>56</v>
      </c>
      <c r="I49" t="s">
        <v>21</v>
      </c>
      <c r="J49">
        <v>67</v>
      </c>
      <c r="K49">
        <v>7.44</v>
      </c>
      <c r="L49">
        <v>138.37</v>
      </c>
      <c r="M49" t="s">
        <v>24</v>
      </c>
      <c r="N49">
        <v>88.4</v>
      </c>
      <c r="O49">
        <v>44.2</v>
      </c>
      <c r="P49">
        <v>2</v>
      </c>
    </row>
    <row r="50" spans="1:16" x14ac:dyDescent="0.25">
      <c r="A50" t="s">
        <v>58</v>
      </c>
      <c r="B50" t="s">
        <v>59</v>
      </c>
      <c r="C50" t="s">
        <v>55</v>
      </c>
      <c r="D50">
        <v>2010</v>
      </c>
      <c r="E50" s="5">
        <f t="shared" si="0"/>
        <v>40179</v>
      </c>
      <c r="F50" t="s">
        <v>35</v>
      </c>
      <c r="G50" t="s">
        <v>19</v>
      </c>
      <c r="H50" t="s">
        <v>60</v>
      </c>
      <c r="I50" t="s">
        <v>21</v>
      </c>
      <c r="J50">
        <v>81</v>
      </c>
      <c r="K50">
        <v>0.46</v>
      </c>
      <c r="L50">
        <v>92.93</v>
      </c>
      <c r="M50" t="s">
        <v>24</v>
      </c>
      <c r="N50">
        <v>112.74</v>
      </c>
      <c r="O50">
        <v>56.37</v>
      </c>
      <c r="P50">
        <v>1</v>
      </c>
    </row>
    <row r="51" spans="1:16" x14ac:dyDescent="0.25">
      <c r="A51" t="s">
        <v>58</v>
      </c>
      <c r="B51" t="s">
        <v>59</v>
      </c>
      <c r="C51" t="s">
        <v>55</v>
      </c>
      <c r="D51">
        <v>2010</v>
      </c>
      <c r="E51" s="5">
        <f t="shared" si="0"/>
        <v>40179</v>
      </c>
      <c r="F51" t="s">
        <v>35</v>
      </c>
      <c r="G51" t="s">
        <v>26</v>
      </c>
      <c r="H51" t="s">
        <v>60</v>
      </c>
      <c r="I51" t="s">
        <v>21</v>
      </c>
      <c r="J51">
        <v>81</v>
      </c>
      <c r="K51">
        <v>9</v>
      </c>
      <c r="L51">
        <v>199.23</v>
      </c>
      <c r="M51" t="s">
        <v>24</v>
      </c>
      <c r="N51">
        <v>172.84</v>
      </c>
      <c r="O51">
        <v>86.42</v>
      </c>
      <c r="P51">
        <v>6</v>
      </c>
    </row>
    <row r="52" spans="1:16" x14ac:dyDescent="0.25">
      <c r="A52" t="s">
        <v>58</v>
      </c>
      <c r="B52" t="s">
        <v>59</v>
      </c>
      <c r="C52" t="s">
        <v>55</v>
      </c>
      <c r="D52">
        <v>2010</v>
      </c>
      <c r="E52" s="5">
        <f t="shared" si="0"/>
        <v>40179</v>
      </c>
      <c r="F52" t="s">
        <v>35</v>
      </c>
      <c r="G52" t="s">
        <v>28</v>
      </c>
      <c r="H52" t="s">
        <v>60</v>
      </c>
      <c r="I52" t="s">
        <v>21</v>
      </c>
      <c r="J52">
        <v>69</v>
      </c>
      <c r="K52">
        <v>6.7</v>
      </c>
      <c r="L52">
        <v>89.07</v>
      </c>
      <c r="M52" t="s">
        <v>24</v>
      </c>
      <c r="N52">
        <v>114.18</v>
      </c>
      <c r="O52">
        <v>59.45</v>
      </c>
      <c r="P52">
        <v>19</v>
      </c>
    </row>
    <row r="53" spans="1:16" x14ac:dyDescent="0.25">
      <c r="A53" t="s">
        <v>61</v>
      </c>
      <c r="B53" t="s">
        <v>62</v>
      </c>
      <c r="C53" t="s">
        <v>63</v>
      </c>
      <c r="D53">
        <v>2017</v>
      </c>
      <c r="E53" s="5">
        <f t="shared" si="0"/>
        <v>42736</v>
      </c>
      <c r="F53" t="s">
        <v>18</v>
      </c>
      <c r="G53" t="s">
        <v>37</v>
      </c>
      <c r="H53" t="s">
        <v>64</v>
      </c>
      <c r="I53" t="s">
        <v>65</v>
      </c>
      <c r="J53">
        <v>89</v>
      </c>
      <c r="K53">
        <v>9.31</v>
      </c>
      <c r="L53">
        <v>216.29</v>
      </c>
      <c r="M53" t="s">
        <v>24</v>
      </c>
      <c r="N53">
        <v>195.36</v>
      </c>
      <c r="O53">
        <v>97.68</v>
      </c>
      <c r="P53">
        <v>13</v>
      </c>
    </row>
    <row r="54" spans="1:16" x14ac:dyDescent="0.25">
      <c r="A54" t="s">
        <v>61</v>
      </c>
      <c r="B54" t="s">
        <v>62</v>
      </c>
      <c r="C54" t="s">
        <v>63</v>
      </c>
      <c r="D54">
        <v>2017</v>
      </c>
      <c r="E54" s="5">
        <f t="shared" si="0"/>
        <v>42736</v>
      </c>
      <c r="F54" t="s">
        <v>18</v>
      </c>
      <c r="G54" t="s">
        <v>66</v>
      </c>
      <c r="H54" t="s">
        <v>64</v>
      </c>
      <c r="I54" t="s">
        <v>65</v>
      </c>
      <c r="J54">
        <v>93</v>
      </c>
      <c r="K54">
        <v>3.39</v>
      </c>
      <c r="L54">
        <v>232.77</v>
      </c>
      <c r="M54" t="s">
        <v>24</v>
      </c>
      <c r="N54">
        <v>161.44</v>
      </c>
      <c r="O54">
        <v>80.72</v>
      </c>
      <c r="P54">
        <v>7</v>
      </c>
    </row>
    <row r="55" spans="1:16" x14ac:dyDescent="0.25">
      <c r="A55" t="s">
        <v>67</v>
      </c>
      <c r="B55" t="s">
        <v>62</v>
      </c>
      <c r="C55" t="s">
        <v>63</v>
      </c>
      <c r="D55">
        <v>2023</v>
      </c>
      <c r="E55" s="5">
        <f t="shared" si="0"/>
        <v>44927</v>
      </c>
      <c r="F55" t="s">
        <v>18</v>
      </c>
      <c r="G55" t="s">
        <v>37</v>
      </c>
      <c r="H55" t="s">
        <v>64</v>
      </c>
      <c r="I55" t="s">
        <v>65</v>
      </c>
      <c r="J55">
        <v>87</v>
      </c>
      <c r="K55">
        <v>1.17</v>
      </c>
      <c r="L55">
        <v>218.17</v>
      </c>
      <c r="M55" t="s">
        <v>24</v>
      </c>
      <c r="N55">
        <v>172.43</v>
      </c>
      <c r="O55">
        <v>86.22</v>
      </c>
      <c r="P55">
        <v>14</v>
      </c>
    </row>
    <row r="56" spans="1:16" x14ac:dyDescent="0.25">
      <c r="A56" t="s">
        <v>68</v>
      </c>
      <c r="B56" t="s">
        <v>16</v>
      </c>
      <c r="C56" t="s">
        <v>17</v>
      </c>
      <c r="D56">
        <v>2004</v>
      </c>
      <c r="E56" s="5">
        <f t="shared" si="0"/>
        <v>37987</v>
      </c>
      <c r="F56" t="s">
        <v>18</v>
      </c>
      <c r="G56" t="s">
        <v>69</v>
      </c>
      <c r="H56" t="s">
        <v>20</v>
      </c>
      <c r="I56" t="s">
        <v>21</v>
      </c>
      <c r="J56">
        <v>86</v>
      </c>
      <c r="K56">
        <v>35.11</v>
      </c>
      <c r="L56">
        <v>56.51</v>
      </c>
      <c r="M56" t="s">
        <v>22</v>
      </c>
      <c r="N56">
        <v>133.71</v>
      </c>
      <c r="O56">
        <v>161.02000000000001</v>
      </c>
      <c r="P56">
        <v>8</v>
      </c>
    </row>
    <row r="57" spans="1:16" x14ac:dyDescent="0.25">
      <c r="A57" t="s">
        <v>68</v>
      </c>
      <c r="B57" t="s">
        <v>16</v>
      </c>
      <c r="C57" t="s">
        <v>17</v>
      </c>
      <c r="D57">
        <v>2004</v>
      </c>
      <c r="E57" s="5">
        <f t="shared" si="0"/>
        <v>37987</v>
      </c>
      <c r="F57" t="s">
        <v>18</v>
      </c>
      <c r="G57" t="s">
        <v>70</v>
      </c>
      <c r="H57" t="s">
        <v>20</v>
      </c>
      <c r="I57" t="s">
        <v>21</v>
      </c>
      <c r="J57">
        <v>68</v>
      </c>
      <c r="K57">
        <v>15.34</v>
      </c>
      <c r="L57">
        <v>127.84</v>
      </c>
      <c r="M57" t="s">
        <v>24</v>
      </c>
      <c r="N57">
        <v>137.51</v>
      </c>
      <c r="O57">
        <v>131.82</v>
      </c>
      <c r="P57">
        <v>10</v>
      </c>
    </row>
    <row r="58" spans="1:16" x14ac:dyDescent="0.25">
      <c r="A58" t="s">
        <v>68</v>
      </c>
      <c r="B58" t="s">
        <v>16</v>
      </c>
      <c r="C58" t="s">
        <v>17</v>
      </c>
      <c r="D58">
        <v>2004</v>
      </c>
      <c r="E58" s="5">
        <f t="shared" si="0"/>
        <v>37987</v>
      </c>
      <c r="F58" t="s">
        <v>18</v>
      </c>
      <c r="G58" t="s">
        <v>28</v>
      </c>
      <c r="H58" t="s">
        <v>20</v>
      </c>
      <c r="I58" t="s">
        <v>21</v>
      </c>
      <c r="J58">
        <v>73</v>
      </c>
      <c r="K58">
        <v>8.7899999999999991</v>
      </c>
      <c r="L58">
        <v>240.67</v>
      </c>
      <c r="M58" t="s">
        <v>22</v>
      </c>
      <c r="N58">
        <v>56.77</v>
      </c>
      <c r="O58">
        <v>28.39</v>
      </c>
      <c r="P58">
        <v>13</v>
      </c>
    </row>
    <row r="59" spans="1:16" x14ac:dyDescent="0.25">
      <c r="A59" t="s">
        <v>71</v>
      </c>
      <c r="B59" t="s">
        <v>16</v>
      </c>
      <c r="C59" t="s">
        <v>17</v>
      </c>
      <c r="D59">
        <v>2002</v>
      </c>
      <c r="E59" s="5">
        <f t="shared" si="0"/>
        <v>37257</v>
      </c>
      <c r="F59" t="s">
        <v>18</v>
      </c>
      <c r="G59" t="s">
        <v>69</v>
      </c>
      <c r="H59" t="s">
        <v>20</v>
      </c>
      <c r="I59" t="s">
        <v>21</v>
      </c>
      <c r="J59">
        <v>74</v>
      </c>
      <c r="K59">
        <v>18.579999999999998</v>
      </c>
      <c r="L59">
        <v>246.07</v>
      </c>
      <c r="M59" t="s">
        <v>24</v>
      </c>
      <c r="N59">
        <v>27.55</v>
      </c>
      <c r="O59">
        <v>169</v>
      </c>
      <c r="P59">
        <v>6</v>
      </c>
    </row>
    <row r="60" spans="1:16" x14ac:dyDescent="0.25">
      <c r="A60" t="s">
        <v>71</v>
      </c>
      <c r="B60" t="s">
        <v>16</v>
      </c>
      <c r="C60" t="s">
        <v>17</v>
      </c>
      <c r="D60">
        <v>2002</v>
      </c>
      <c r="E60" s="5">
        <f t="shared" si="0"/>
        <v>37257</v>
      </c>
      <c r="F60" t="s">
        <v>18</v>
      </c>
      <c r="G60" t="s">
        <v>70</v>
      </c>
      <c r="H60" t="s">
        <v>20</v>
      </c>
      <c r="I60" t="s">
        <v>21</v>
      </c>
      <c r="J60">
        <v>78</v>
      </c>
      <c r="K60">
        <v>2.06</v>
      </c>
      <c r="L60">
        <v>231.47</v>
      </c>
      <c r="M60" t="s">
        <v>22</v>
      </c>
      <c r="N60">
        <v>110</v>
      </c>
      <c r="O60">
        <v>55</v>
      </c>
      <c r="P60">
        <v>6</v>
      </c>
    </row>
    <row r="61" spans="1:16" x14ac:dyDescent="0.25">
      <c r="A61" t="s">
        <v>71</v>
      </c>
      <c r="B61" t="s">
        <v>16</v>
      </c>
      <c r="C61" t="s">
        <v>17</v>
      </c>
      <c r="D61">
        <v>2002</v>
      </c>
      <c r="E61" s="5">
        <f t="shared" si="0"/>
        <v>37257</v>
      </c>
      <c r="F61" t="s">
        <v>18</v>
      </c>
      <c r="G61" t="s">
        <v>28</v>
      </c>
      <c r="H61" t="s">
        <v>20</v>
      </c>
      <c r="I61" t="s">
        <v>21</v>
      </c>
      <c r="J61">
        <v>98</v>
      </c>
      <c r="K61">
        <v>27.24</v>
      </c>
      <c r="L61">
        <v>83.22</v>
      </c>
      <c r="M61" t="s">
        <v>24</v>
      </c>
      <c r="N61">
        <v>66.209999999999994</v>
      </c>
      <c r="O61">
        <v>235.14</v>
      </c>
      <c r="P61">
        <v>9</v>
      </c>
    </row>
    <row r="62" spans="1:16" x14ac:dyDescent="0.25">
      <c r="A62" t="s">
        <v>72</v>
      </c>
      <c r="B62" t="s">
        <v>73</v>
      </c>
      <c r="C62" t="s">
        <v>49</v>
      </c>
      <c r="D62">
        <v>2020</v>
      </c>
      <c r="E62" s="5">
        <f t="shared" si="0"/>
        <v>43831</v>
      </c>
      <c r="F62" t="s">
        <v>18</v>
      </c>
      <c r="G62" t="s">
        <v>23</v>
      </c>
      <c r="H62" t="s">
        <v>50</v>
      </c>
      <c r="I62" t="s">
        <v>51</v>
      </c>
      <c r="J62">
        <v>83</v>
      </c>
      <c r="K62">
        <v>3.33</v>
      </c>
      <c r="L62">
        <v>174.6</v>
      </c>
      <c r="M62" t="s">
        <v>22</v>
      </c>
      <c r="N62">
        <v>113.11</v>
      </c>
      <c r="O62">
        <v>56.55</v>
      </c>
      <c r="P62">
        <v>12</v>
      </c>
    </row>
    <row r="63" spans="1:16" x14ac:dyDescent="0.25">
      <c r="A63" t="s">
        <v>72</v>
      </c>
      <c r="B63" t="s">
        <v>73</v>
      </c>
      <c r="C63" t="s">
        <v>49</v>
      </c>
      <c r="D63">
        <v>2020</v>
      </c>
      <c r="E63" s="5">
        <f t="shared" si="0"/>
        <v>43831</v>
      </c>
      <c r="F63" t="s">
        <v>18</v>
      </c>
      <c r="G63" t="s">
        <v>25</v>
      </c>
      <c r="H63" t="s">
        <v>50</v>
      </c>
      <c r="I63" t="s">
        <v>51</v>
      </c>
      <c r="J63">
        <v>68</v>
      </c>
      <c r="K63">
        <v>6.19</v>
      </c>
      <c r="L63">
        <v>75.94</v>
      </c>
      <c r="M63" t="s">
        <v>22</v>
      </c>
      <c r="N63">
        <v>111.85</v>
      </c>
      <c r="O63">
        <v>55.92</v>
      </c>
      <c r="P63">
        <v>9</v>
      </c>
    </row>
    <row r="64" spans="1:16" x14ac:dyDescent="0.25">
      <c r="A64" t="s">
        <v>72</v>
      </c>
      <c r="B64" t="s">
        <v>73</v>
      </c>
      <c r="C64" t="s">
        <v>49</v>
      </c>
      <c r="D64">
        <v>2020</v>
      </c>
      <c r="E64" s="5">
        <f t="shared" si="0"/>
        <v>43831</v>
      </c>
      <c r="F64" t="s">
        <v>18</v>
      </c>
      <c r="G64" t="s">
        <v>28</v>
      </c>
      <c r="H64" t="s">
        <v>50</v>
      </c>
      <c r="I64" t="s">
        <v>51</v>
      </c>
      <c r="J64">
        <v>85</v>
      </c>
      <c r="K64">
        <v>6.11</v>
      </c>
      <c r="L64">
        <v>81.239999999999995</v>
      </c>
      <c r="M64" t="s">
        <v>22</v>
      </c>
      <c r="N64">
        <v>91.15</v>
      </c>
      <c r="O64">
        <v>45.58</v>
      </c>
      <c r="P64">
        <v>16</v>
      </c>
    </row>
    <row r="65" spans="1:16" x14ac:dyDescent="0.25">
      <c r="A65" t="s">
        <v>74</v>
      </c>
      <c r="B65" t="s">
        <v>75</v>
      </c>
      <c r="C65" t="s">
        <v>49</v>
      </c>
      <c r="D65">
        <v>2019</v>
      </c>
      <c r="E65" s="5">
        <f t="shared" si="0"/>
        <v>43466</v>
      </c>
      <c r="F65" t="s">
        <v>18</v>
      </c>
      <c r="G65" t="s">
        <v>23</v>
      </c>
      <c r="H65" t="s">
        <v>76</v>
      </c>
      <c r="I65" t="s">
        <v>21</v>
      </c>
      <c r="J65">
        <v>99</v>
      </c>
      <c r="K65">
        <v>7.98</v>
      </c>
      <c r="L65">
        <v>43.25</v>
      </c>
      <c r="M65" t="s">
        <v>24</v>
      </c>
      <c r="N65">
        <v>21.54</v>
      </c>
      <c r="O65">
        <v>45</v>
      </c>
      <c r="P65">
        <v>20</v>
      </c>
    </row>
    <row r="66" spans="1:16" x14ac:dyDescent="0.25">
      <c r="A66" t="s">
        <v>74</v>
      </c>
      <c r="B66" t="s">
        <v>75</v>
      </c>
      <c r="C66" t="s">
        <v>49</v>
      </c>
      <c r="D66">
        <v>2019</v>
      </c>
      <c r="E66" s="5">
        <f t="shared" si="0"/>
        <v>43466</v>
      </c>
      <c r="F66" t="s">
        <v>18</v>
      </c>
      <c r="G66" t="s">
        <v>28</v>
      </c>
      <c r="H66" t="s">
        <v>76</v>
      </c>
      <c r="I66" t="s">
        <v>21</v>
      </c>
      <c r="J66">
        <v>86</v>
      </c>
      <c r="K66">
        <v>9.52</v>
      </c>
      <c r="L66">
        <v>59.48</v>
      </c>
      <c r="M66" t="s">
        <v>24</v>
      </c>
      <c r="N66">
        <v>65.53</v>
      </c>
      <c r="O66">
        <v>78.63</v>
      </c>
      <c r="P66">
        <v>4</v>
      </c>
    </row>
    <row r="67" spans="1:16" x14ac:dyDescent="0.25">
      <c r="A67" t="s">
        <v>77</v>
      </c>
      <c r="B67" t="s">
        <v>78</v>
      </c>
      <c r="C67" t="s">
        <v>49</v>
      </c>
      <c r="D67">
        <v>2019</v>
      </c>
      <c r="E67" s="5">
        <f t="shared" ref="E67:E130" si="1">DATE(D67,1,1)</f>
        <v>43466</v>
      </c>
      <c r="F67" t="s">
        <v>18</v>
      </c>
      <c r="G67" t="s">
        <v>23</v>
      </c>
      <c r="H67" t="s">
        <v>79</v>
      </c>
      <c r="I67" t="s">
        <v>21</v>
      </c>
      <c r="J67">
        <v>78</v>
      </c>
      <c r="K67">
        <v>6.15</v>
      </c>
      <c r="L67">
        <v>192.35</v>
      </c>
      <c r="M67" t="s">
        <v>22</v>
      </c>
      <c r="N67">
        <v>93.81</v>
      </c>
      <c r="O67">
        <v>55.2</v>
      </c>
      <c r="P67">
        <v>18</v>
      </c>
    </row>
    <row r="68" spans="1:16" x14ac:dyDescent="0.25">
      <c r="A68" t="s">
        <v>77</v>
      </c>
      <c r="B68" t="s">
        <v>78</v>
      </c>
      <c r="C68" t="s">
        <v>49</v>
      </c>
      <c r="D68">
        <v>2019</v>
      </c>
      <c r="E68" s="5">
        <f t="shared" si="1"/>
        <v>43466</v>
      </c>
      <c r="F68" t="s">
        <v>18</v>
      </c>
      <c r="G68" t="s">
        <v>25</v>
      </c>
      <c r="H68" t="s">
        <v>79</v>
      </c>
      <c r="I68" t="s">
        <v>21</v>
      </c>
      <c r="J68">
        <v>78</v>
      </c>
      <c r="K68">
        <v>4.99</v>
      </c>
      <c r="L68">
        <v>61.75</v>
      </c>
      <c r="M68" t="s">
        <v>24</v>
      </c>
      <c r="N68">
        <v>132.93</v>
      </c>
      <c r="O68">
        <v>66.47</v>
      </c>
      <c r="P68">
        <v>3</v>
      </c>
    </row>
    <row r="69" spans="1:16" x14ac:dyDescent="0.25">
      <c r="A69" t="s">
        <v>77</v>
      </c>
      <c r="B69" t="s">
        <v>78</v>
      </c>
      <c r="C69" t="s">
        <v>49</v>
      </c>
      <c r="D69">
        <v>2019</v>
      </c>
      <c r="E69" s="5">
        <f t="shared" si="1"/>
        <v>43466</v>
      </c>
      <c r="F69" t="s">
        <v>18</v>
      </c>
      <c r="G69" t="s">
        <v>28</v>
      </c>
      <c r="H69" t="s">
        <v>79</v>
      </c>
      <c r="I69" t="s">
        <v>21</v>
      </c>
      <c r="J69">
        <v>92</v>
      </c>
      <c r="K69">
        <v>9.58</v>
      </c>
      <c r="L69">
        <v>129.97</v>
      </c>
      <c r="M69" t="s">
        <v>24</v>
      </c>
      <c r="N69">
        <v>14.79</v>
      </c>
      <c r="O69">
        <v>31.07</v>
      </c>
      <c r="P69">
        <v>3</v>
      </c>
    </row>
    <row r="70" spans="1:16" x14ac:dyDescent="0.25">
      <c r="A70" t="s">
        <v>80</v>
      </c>
      <c r="B70" t="s">
        <v>81</v>
      </c>
      <c r="C70" t="s">
        <v>82</v>
      </c>
      <c r="D70">
        <v>2011</v>
      </c>
      <c r="E70" s="5">
        <f t="shared" si="1"/>
        <v>40544</v>
      </c>
      <c r="F70" t="s">
        <v>83</v>
      </c>
      <c r="G70" t="s">
        <v>23</v>
      </c>
      <c r="H70" t="s">
        <v>84</v>
      </c>
      <c r="I70" t="s">
        <v>85</v>
      </c>
      <c r="J70">
        <v>83</v>
      </c>
      <c r="K70">
        <v>136.84</v>
      </c>
      <c r="L70">
        <v>246.99</v>
      </c>
      <c r="M70" t="s">
        <v>24</v>
      </c>
      <c r="N70">
        <v>121.11</v>
      </c>
      <c r="O70">
        <v>1306.8699999999999</v>
      </c>
      <c r="P70">
        <v>14</v>
      </c>
    </row>
    <row r="71" spans="1:16" x14ac:dyDescent="0.25">
      <c r="A71" t="s">
        <v>80</v>
      </c>
      <c r="B71" t="s">
        <v>81</v>
      </c>
      <c r="C71" t="s">
        <v>82</v>
      </c>
      <c r="D71">
        <v>2011</v>
      </c>
      <c r="E71" s="5">
        <f t="shared" si="1"/>
        <v>40544</v>
      </c>
      <c r="F71" t="s">
        <v>83</v>
      </c>
      <c r="G71" t="s">
        <v>27</v>
      </c>
      <c r="H71" t="s">
        <v>84</v>
      </c>
      <c r="I71" t="s">
        <v>85</v>
      </c>
      <c r="J71">
        <v>93</v>
      </c>
      <c r="K71">
        <v>146.66</v>
      </c>
      <c r="L71">
        <v>126.69</v>
      </c>
      <c r="M71" t="s">
        <v>24</v>
      </c>
      <c r="N71">
        <v>166.96</v>
      </c>
      <c r="O71">
        <v>869.82</v>
      </c>
      <c r="P71">
        <v>5</v>
      </c>
    </row>
    <row r="72" spans="1:16" x14ac:dyDescent="0.25">
      <c r="A72" t="s">
        <v>80</v>
      </c>
      <c r="B72" t="s">
        <v>81</v>
      </c>
      <c r="C72" t="s">
        <v>82</v>
      </c>
      <c r="D72">
        <v>2011</v>
      </c>
      <c r="E72" s="5">
        <f t="shared" si="1"/>
        <v>40544</v>
      </c>
      <c r="F72" t="s">
        <v>83</v>
      </c>
      <c r="G72" t="s">
        <v>37</v>
      </c>
      <c r="H72" t="s">
        <v>84</v>
      </c>
      <c r="I72" t="s">
        <v>85</v>
      </c>
      <c r="J72">
        <v>81</v>
      </c>
      <c r="K72">
        <v>59.25</v>
      </c>
      <c r="L72">
        <v>62.56</v>
      </c>
      <c r="M72" t="s">
        <v>24</v>
      </c>
      <c r="N72">
        <v>129.34</v>
      </c>
      <c r="O72">
        <v>467.62</v>
      </c>
      <c r="P72">
        <v>16</v>
      </c>
    </row>
    <row r="73" spans="1:16" x14ac:dyDescent="0.25">
      <c r="A73" t="s">
        <v>80</v>
      </c>
      <c r="B73" t="s">
        <v>81</v>
      </c>
      <c r="C73" t="s">
        <v>82</v>
      </c>
      <c r="D73">
        <v>2011</v>
      </c>
      <c r="E73" s="5">
        <f t="shared" si="1"/>
        <v>40544</v>
      </c>
      <c r="F73" t="s">
        <v>83</v>
      </c>
      <c r="G73" t="s">
        <v>28</v>
      </c>
      <c r="H73" t="s">
        <v>84</v>
      </c>
      <c r="I73" t="s">
        <v>85</v>
      </c>
      <c r="J73">
        <v>85</v>
      </c>
      <c r="K73">
        <v>55.46</v>
      </c>
      <c r="L73">
        <v>110.53</v>
      </c>
      <c r="M73" t="s">
        <v>24</v>
      </c>
      <c r="N73">
        <v>144.13999999999999</v>
      </c>
      <c r="O73">
        <v>172.51</v>
      </c>
      <c r="P73">
        <v>10</v>
      </c>
    </row>
    <row r="74" spans="1:16" x14ac:dyDescent="0.25">
      <c r="A74" t="s">
        <v>80</v>
      </c>
      <c r="B74" t="s">
        <v>81</v>
      </c>
      <c r="C74" t="s">
        <v>82</v>
      </c>
      <c r="D74">
        <v>2011</v>
      </c>
      <c r="E74" s="5">
        <f t="shared" si="1"/>
        <v>40544</v>
      </c>
      <c r="F74" t="s">
        <v>83</v>
      </c>
      <c r="G74" t="s">
        <v>86</v>
      </c>
      <c r="H74" t="s">
        <v>84</v>
      </c>
      <c r="I74" t="s">
        <v>85</v>
      </c>
      <c r="J74">
        <v>89</v>
      </c>
      <c r="K74">
        <v>112.63</v>
      </c>
      <c r="L74">
        <v>35.46</v>
      </c>
      <c r="M74" t="s">
        <v>24</v>
      </c>
      <c r="N74">
        <v>50.1</v>
      </c>
      <c r="O74">
        <v>816.07</v>
      </c>
      <c r="P74">
        <v>6</v>
      </c>
    </row>
    <row r="75" spans="1:16" x14ac:dyDescent="0.25">
      <c r="A75" t="s">
        <v>87</v>
      </c>
      <c r="B75" t="s">
        <v>88</v>
      </c>
      <c r="C75" t="s">
        <v>88</v>
      </c>
      <c r="D75">
        <v>2016</v>
      </c>
      <c r="E75" s="5">
        <f t="shared" si="1"/>
        <v>42370</v>
      </c>
      <c r="F75" t="s">
        <v>89</v>
      </c>
      <c r="G75" t="s">
        <v>23</v>
      </c>
      <c r="H75" t="s">
        <v>84</v>
      </c>
      <c r="I75" t="s">
        <v>85</v>
      </c>
      <c r="J75">
        <v>79</v>
      </c>
      <c r="K75">
        <v>4.1399999999999997</v>
      </c>
      <c r="L75">
        <v>136.11000000000001</v>
      </c>
      <c r="M75" t="s">
        <v>24</v>
      </c>
      <c r="N75">
        <v>86.08</v>
      </c>
      <c r="O75">
        <v>43.04</v>
      </c>
      <c r="P75">
        <v>13</v>
      </c>
    </row>
    <row r="76" spans="1:16" x14ac:dyDescent="0.25">
      <c r="A76" t="s">
        <v>87</v>
      </c>
      <c r="B76" t="s">
        <v>88</v>
      </c>
      <c r="C76" t="s">
        <v>88</v>
      </c>
      <c r="D76">
        <v>2016</v>
      </c>
      <c r="E76" s="5">
        <f t="shared" si="1"/>
        <v>42370</v>
      </c>
      <c r="F76" t="s">
        <v>89</v>
      </c>
      <c r="G76" t="s">
        <v>25</v>
      </c>
      <c r="H76" t="s">
        <v>84</v>
      </c>
      <c r="I76" t="s">
        <v>85</v>
      </c>
      <c r="J76">
        <v>94</v>
      </c>
      <c r="K76">
        <v>7.72</v>
      </c>
      <c r="L76">
        <v>236.57</v>
      </c>
      <c r="M76" t="s">
        <v>24</v>
      </c>
      <c r="N76">
        <v>8.81</v>
      </c>
      <c r="O76">
        <v>68.91</v>
      </c>
      <c r="P76">
        <v>18</v>
      </c>
    </row>
    <row r="77" spans="1:16" x14ac:dyDescent="0.25">
      <c r="A77" t="s">
        <v>87</v>
      </c>
      <c r="B77" t="s">
        <v>88</v>
      </c>
      <c r="C77" t="s">
        <v>88</v>
      </c>
      <c r="D77">
        <v>2016</v>
      </c>
      <c r="E77" s="5">
        <f t="shared" si="1"/>
        <v>42370</v>
      </c>
      <c r="F77" t="s">
        <v>89</v>
      </c>
      <c r="G77" t="s">
        <v>27</v>
      </c>
      <c r="H77" t="s">
        <v>84</v>
      </c>
      <c r="I77" t="s">
        <v>85</v>
      </c>
      <c r="J77">
        <v>83</v>
      </c>
      <c r="K77">
        <v>0.16</v>
      </c>
      <c r="L77">
        <v>88.59</v>
      </c>
      <c r="M77" t="s">
        <v>24</v>
      </c>
      <c r="N77">
        <v>151.93</v>
      </c>
      <c r="O77">
        <v>75.97</v>
      </c>
      <c r="P77">
        <v>13</v>
      </c>
    </row>
    <row r="78" spans="1:16" x14ac:dyDescent="0.25">
      <c r="A78" t="s">
        <v>87</v>
      </c>
      <c r="B78" t="s">
        <v>88</v>
      </c>
      <c r="C78" t="s">
        <v>88</v>
      </c>
      <c r="D78">
        <v>2016</v>
      </c>
      <c r="E78" s="5">
        <f t="shared" si="1"/>
        <v>42370</v>
      </c>
      <c r="F78" t="s">
        <v>89</v>
      </c>
      <c r="G78" t="s">
        <v>28</v>
      </c>
      <c r="H78" t="s">
        <v>84</v>
      </c>
      <c r="I78" t="s">
        <v>85</v>
      </c>
      <c r="J78">
        <v>89</v>
      </c>
      <c r="K78">
        <v>7.37</v>
      </c>
      <c r="L78">
        <v>200.17</v>
      </c>
      <c r="M78" t="s">
        <v>24</v>
      </c>
      <c r="N78">
        <v>180.07</v>
      </c>
      <c r="O78">
        <v>90.03</v>
      </c>
      <c r="P78">
        <v>8</v>
      </c>
    </row>
    <row r="79" spans="1:16" x14ac:dyDescent="0.25">
      <c r="A79" t="s">
        <v>90</v>
      </c>
      <c r="B79" t="s">
        <v>59</v>
      </c>
      <c r="C79" t="s">
        <v>91</v>
      </c>
      <c r="D79">
        <v>2019</v>
      </c>
      <c r="E79" s="5">
        <f t="shared" si="1"/>
        <v>43466</v>
      </c>
      <c r="F79" t="s">
        <v>35</v>
      </c>
      <c r="G79" t="s">
        <v>23</v>
      </c>
      <c r="H79" t="s">
        <v>92</v>
      </c>
      <c r="I79" t="s">
        <v>21</v>
      </c>
      <c r="J79">
        <v>82</v>
      </c>
      <c r="K79">
        <v>0.39</v>
      </c>
      <c r="L79">
        <v>84.7</v>
      </c>
      <c r="M79" t="s">
        <v>24</v>
      </c>
      <c r="N79">
        <v>137.43</v>
      </c>
      <c r="O79">
        <v>68.72</v>
      </c>
      <c r="P79">
        <v>5</v>
      </c>
    </row>
    <row r="80" spans="1:16" x14ac:dyDescent="0.25">
      <c r="A80" t="s">
        <v>90</v>
      </c>
      <c r="B80" t="s">
        <v>59</v>
      </c>
      <c r="C80" t="s">
        <v>91</v>
      </c>
      <c r="D80">
        <v>2019</v>
      </c>
      <c r="E80" s="5">
        <f t="shared" si="1"/>
        <v>43466</v>
      </c>
      <c r="F80" t="s">
        <v>35</v>
      </c>
      <c r="G80" t="s">
        <v>27</v>
      </c>
      <c r="H80" t="s">
        <v>92</v>
      </c>
      <c r="I80" t="s">
        <v>21</v>
      </c>
      <c r="J80">
        <v>99</v>
      </c>
      <c r="K80">
        <v>1.36</v>
      </c>
      <c r="L80">
        <v>155.94</v>
      </c>
      <c r="M80" t="s">
        <v>24</v>
      </c>
      <c r="N80">
        <v>10.26</v>
      </c>
      <c r="O80">
        <v>6.18</v>
      </c>
      <c r="P80">
        <v>18</v>
      </c>
    </row>
    <row r="81" spans="1:16" x14ac:dyDescent="0.25">
      <c r="A81" t="s">
        <v>90</v>
      </c>
      <c r="B81" t="s">
        <v>59</v>
      </c>
      <c r="C81" t="s">
        <v>91</v>
      </c>
      <c r="D81">
        <v>2019</v>
      </c>
      <c r="E81" s="5">
        <f t="shared" si="1"/>
        <v>43466</v>
      </c>
      <c r="F81" t="s">
        <v>35</v>
      </c>
      <c r="G81" t="s">
        <v>28</v>
      </c>
      <c r="H81" t="s">
        <v>92</v>
      </c>
      <c r="I81" t="s">
        <v>21</v>
      </c>
      <c r="J81">
        <v>66</v>
      </c>
      <c r="K81">
        <v>0.93</v>
      </c>
      <c r="L81">
        <v>107.72</v>
      </c>
      <c r="M81" t="s">
        <v>24</v>
      </c>
      <c r="N81">
        <v>174.04</v>
      </c>
      <c r="O81">
        <v>87.02</v>
      </c>
      <c r="P81">
        <v>8</v>
      </c>
    </row>
    <row r="82" spans="1:16" x14ac:dyDescent="0.25">
      <c r="A82" t="s">
        <v>90</v>
      </c>
      <c r="B82" t="s">
        <v>59</v>
      </c>
      <c r="C82" t="s">
        <v>91</v>
      </c>
      <c r="D82">
        <v>2019</v>
      </c>
      <c r="E82" s="5">
        <f t="shared" si="1"/>
        <v>43466</v>
      </c>
      <c r="F82" t="s">
        <v>35</v>
      </c>
      <c r="G82" t="s">
        <v>37</v>
      </c>
      <c r="H82" t="s">
        <v>92</v>
      </c>
      <c r="I82" t="s">
        <v>21</v>
      </c>
      <c r="J82">
        <v>74</v>
      </c>
      <c r="K82">
        <v>2.2000000000000002</v>
      </c>
      <c r="L82">
        <v>82.38</v>
      </c>
      <c r="M82" t="s">
        <v>24</v>
      </c>
      <c r="N82">
        <v>153.44</v>
      </c>
      <c r="O82">
        <v>76.72</v>
      </c>
      <c r="P82">
        <v>13</v>
      </c>
    </row>
    <row r="83" spans="1:16" x14ac:dyDescent="0.25">
      <c r="A83" t="s">
        <v>93</v>
      </c>
      <c r="B83" t="s">
        <v>41</v>
      </c>
      <c r="C83" t="s">
        <v>42</v>
      </c>
      <c r="D83">
        <v>2016</v>
      </c>
      <c r="E83" s="5">
        <f t="shared" si="1"/>
        <v>42370</v>
      </c>
      <c r="F83" t="s">
        <v>18</v>
      </c>
      <c r="G83" t="s">
        <v>23</v>
      </c>
      <c r="H83" t="s">
        <v>94</v>
      </c>
      <c r="I83" t="s">
        <v>21</v>
      </c>
      <c r="J83">
        <v>89</v>
      </c>
      <c r="K83">
        <v>0.91</v>
      </c>
      <c r="L83">
        <v>5.83</v>
      </c>
      <c r="M83" t="s">
        <v>22</v>
      </c>
      <c r="N83">
        <v>110.19</v>
      </c>
      <c r="O83">
        <v>55.09</v>
      </c>
      <c r="P83">
        <v>11</v>
      </c>
    </row>
    <row r="84" spans="1:16" x14ac:dyDescent="0.25">
      <c r="A84" t="s">
        <v>93</v>
      </c>
      <c r="B84" t="s">
        <v>41</v>
      </c>
      <c r="C84" t="s">
        <v>42</v>
      </c>
      <c r="D84">
        <v>2016</v>
      </c>
      <c r="E84" s="5">
        <f t="shared" si="1"/>
        <v>42370</v>
      </c>
      <c r="F84" t="s">
        <v>18</v>
      </c>
      <c r="G84" t="s">
        <v>27</v>
      </c>
      <c r="H84" t="s">
        <v>94</v>
      </c>
      <c r="I84" t="s">
        <v>21</v>
      </c>
      <c r="J84">
        <v>93</v>
      </c>
      <c r="K84">
        <v>9.58</v>
      </c>
      <c r="L84">
        <v>11.02</v>
      </c>
      <c r="M84" t="s">
        <v>24</v>
      </c>
      <c r="N84">
        <v>11.05</v>
      </c>
      <c r="O84">
        <v>30.9</v>
      </c>
      <c r="P84">
        <v>0</v>
      </c>
    </row>
    <row r="85" spans="1:16" x14ac:dyDescent="0.25">
      <c r="A85" t="s">
        <v>93</v>
      </c>
      <c r="B85" t="s">
        <v>41</v>
      </c>
      <c r="C85" t="s">
        <v>42</v>
      </c>
      <c r="D85">
        <v>2016</v>
      </c>
      <c r="E85" s="5">
        <f t="shared" si="1"/>
        <v>42370</v>
      </c>
      <c r="F85" t="s">
        <v>18</v>
      </c>
      <c r="G85" t="s">
        <v>28</v>
      </c>
      <c r="H85" t="s">
        <v>94</v>
      </c>
      <c r="I85" t="s">
        <v>21</v>
      </c>
      <c r="J85">
        <v>69</v>
      </c>
      <c r="K85">
        <v>4.79</v>
      </c>
      <c r="L85">
        <v>29.48</v>
      </c>
      <c r="M85" t="s">
        <v>24</v>
      </c>
      <c r="N85">
        <v>189.81</v>
      </c>
      <c r="O85">
        <v>94.91</v>
      </c>
      <c r="P85">
        <v>8</v>
      </c>
    </row>
    <row r="86" spans="1:16" x14ac:dyDescent="0.25">
      <c r="A86" t="s">
        <v>95</v>
      </c>
      <c r="B86" t="s">
        <v>96</v>
      </c>
      <c r="C86" t="s">
        <v>42</v>
      </c>
      <c r="D86">
        <v>2020</v>
      </c>
      <c r="E86" s="5">
        <f t="shared" si="1"/>
        <v>43831</v>
      </c>
      <c r="F86" t="s">
        <v>18</v>
      </c>
      <c r="G86" t="s">
        <v>23</v>
      </c>
      <c r="H86" t="s">
        <v>94</v>
      </c>
      <c r="I86" t="s">
        <v>21</v>
      </c>
      <c r="J86">
        <v>80</v>
      </c>
      <c r="K86">
        <v>9.64</v>
      </c>
      <c r="L86">
        <v>179.87</v>
      </c>
      <c r="M86" t="s">
        <v>22</v>
      </c>
      <c r="N86">
        <v>156.66999999999999</v>
      </c>
      <c r="O86">
        <v>78.33</v>
      </c>
      <c r="P86">
        <v>9</v>
      </c>
    </row>
    <row r="87" spans="1:16" x14ac:dyDescent="0.25">
      <c r="A87" t="s">
        <v>95</v>
      </c>
      <c r="B87" t="s">
        <v>96</v>
      </c>
      <c r="C87" t="s">
        <v>42</v>
      </c>
      <c r="D87">
        <v>2020</v>
      </c>
      <c r="E87" s="5">
        <f t="shared" si="1"/>
        <v>43831</v>
      </c>
      <c r="F87" t="s">
        <v>18</v>
      </c>
      <c r="G87" t="s">
        <v>25</v>
      </c>
      <c r="H87" t="s">
        <v>94</v>
      </c>
      <c r="I87" t="s">
        <v>21</v>
      </c>
      <c r="J87">
        <v>90</v>
      </c>
      <c r="K87">
        <v>3.19</v>
      </c>
      <c r="L87">
        <v>169.66</v>
      </c>
      <c r="M87" t="s">
        <v>22</v>
      </c>
      <c r="N87">
        <v>191.84</v>
      </c>
      <c r="O87">
        <v>95.92</v>
      </c>
      <c r="P87">
        <v>6</v>
      </c>
    </row>
    <row r="88" spans="1:16" x14ac:dyDescent="0.25">
      <c r="A88" t="s">
        <v>95</v>
      </c>
      <c r="B88" t="s">
        <v>96</v>
      </c>
      <c r="C88" t="s">
        <v>42</v>
      </c>
      <c r="D88">
        <v>2020</v>
      </c>
      <c r="E88" s="5">
        <f t="shared" si="1"/>
        <v>43831</v>
      </c>
      <c r="F88" t="s">
        <v>18</v>
      </c>
      <c r="G88" t="s">
        <v>27</v>
      </c>
      <c r="H88" t="s">
        <v>94</v>
      </c>
      <c r="I88" t="s">
        <v>21</v>
      </c>
      <c r="J88">
        <v>87</v>
      </c>
      <c r="K88">
        <v>6.31</v>
      </c>
      <c r="L88">
        <v>26.37</v>
      </c>
      <c r="M88" t="s">
        <v>22</v>
      </c>
      <c r="N88">
        <v>155.63</v>
      </c>
      <c r="O88">
        <v>77.81</v>
      </c>
      <c r="P88">
        <v>19</v>
      </c>
    </row>
    <row r="89" spans="1:16" x14ac:dyDescent="0.25">
      <c r="A89" t="s">
        <v>95</v>
      </c>
      <c r="B89" t="s">
        <v>96</v>
      </c>
      <c r="C89" t="s">
        <v>42</v>
      </c>
      <c r="D89">
        <v>2020</v>
      </c>
      <c r="E89" s="5">
        <f t="shared" si="1"/>
        <v>43831</v>
      </c>
      <c r="F89" t="s">
        <v>18</v>
      </c>
      <c r="G89" t="s">
        <v>39</v>
      </c>
      <c r="H89" t="s">
        <v>94</v>
      </c>
      <c r="I89" t="s">
        <v>21</v>
      </c>
      <c r="J89">
        <v>88</v>
      </c>
      <c r="K89">
        <v>7.85</v>
      </c>
      <c r="L89">
        <v>87.45</v>
      </c>
      <c r="M89" t="s">
        <v>24</v>
      </c>
      <c r="N89">
        <v>88.53</v>
      </c>
      <c r="O89">
        <v>44.27</v>
      </c>
      <c r="P89">
        <v>16</v>
      </c>
    </row>
    <row r="90" spans="1:16" x14ac:dyDescent="0.25">
      <c r="A90" t="s">
        <v>95</v>
      </c>
      <c r="B90" t="s">
        <v>96</v>
      </c>
      <c r="C90" t="s">
        <v>42</v>
      </c>
      <c r="D90">
        <v>2020</v>
      </c>
      <c r="E90" s="5">
        <f t="shared" si="1"/>
        <v>43831</v>
      </c>
      <c r="F90" t="s">
        <v>18</v>
      </c>
      <c r="G90" t="s">
        <v>28</v>
      </c>
      <c r="H90" t="s">
        <v>94</v>
      </c>
      <c r="I90" t="s">
        <v>21</v>
      </c>
      <c r="J90">
        <v>89</v>
      </c>
      <c r="K90">
        <v>4.26</v>
      </c>
      <c r="L90">
        <v>123.06</v>
      </c>
      <c r="M90" t="s">
        <v>22</v>
      </c>
      <c r="N90">
        <v>89.54</v>
      </c>
      <c r="O90">
        <v>44.77</v>
      </c>
      <c r="P90">
        <v>14</v>
      </c>
    </row>
    <row r="91" spans="1:16" x14ac:dyDescent="0.25">
      <c r="A91" t="s">
        <v>97</v>
      </c>
      <c r="B91" t="s">
        <v>41</v>
      </c>
      <c r="C91" t="s">
        <v>42</v>
      </c>
      <c r="D91">
        <v>2012</v>
      </c>
      <c r="E91" s="5">
        <f t="shared" si="1"/>
        <v>40909</v>
      </c>
      <c r="F91" t="s">
        <v>98</v>
      </c>
      <c r="G91" t="s">
        <v>19</v>
      </c>
      <c r="H91" t="s">
        <v>99</v>
      </c>
      <c r="I91" t="s">
        <v>21</v>
      </c>
      <c r="J91">
        <v>90</v>
      </c>
      <c r="K91">
        <v>21.83</v>
      </c>
      <c r="L91">
        <v>162.96</v>
      </c>
      <c r="M91" t="s">
        <v>22</v>
      </c>
      <c r="N91">
        <v>125.1</v>
      </c>
      <c r="O91">
        <v>202.51</v>
      </c>
      <c r="P91">
        <v>15</v>
      </c>
    </row>
    <row r="92" spans="1:16" x14ac:dyDescent="0.25">
      <c r="A92" t="s">
        <v>97</v>
      </c>
      <c r="B92" t="s">
        <v>41</v>
      </c>
      <c r="C92" t="s">
        <v>42</v>
      </c>
      <c r="D92">
        <v>2012</v>
      </c>
      <c r="E92" s="5">
        <f t="shared" si="1"/>
        <v>40909</v>
      </c>
      <c r="F92" t="s">
        <v>98</v>
      </c>
      <c r="G92" t="s">
        <v>26</v>
      </c>
      <c r="H92" t="s">
        <v>99</v>
      </c>
      <c r="I92" t="s">
        <v>21</v>
      </c>
      <c r="J92">
        <v>90</v>
      </c>
      <c r="K92">
        <v>24.51</v>
      </c>
      <c r="L92">
        <v>81.25</v>
      </c>
      <c r="M92" t="s">
        <v>24</v>
      </c>
      <c r="N92">
        <v>52.87</v>
      </c>
      <c r="O92">
        <v>230.68</v>
      </c>
      <c r="P92">
        <v>8</v>
      </c>
    </row>
    <row r="93" spans="1:16" x14ac:dyDescent="0.25">
      <c r="A93" t="s">
        <v>97</v>
      </c>
      <c r="B93" t="s">
        <v>41</v>
      </c>
      <c r="C93" t="s">
        <v>42</v>
      </c>
      <c r="D93">
        <v>2012</v>
      </c>
      <c r="E93" s="5">
        <f t="shared" si="1"/>
        <v>40909</v>
      </c>
      <c r="F93" t="s">
        <v>98</v>
      </c>
      <c r="G93" t="s">
        <v>28</v>
      </c>
      <c r="H93" t="s">
        <v>99</v>
      </c>
      <c r="I93" t="s">
        <v>21</v>
      </c>
      <c r="J93">
        <v>76</v>
      </c>
      <c r="K93">
        <v>23.65</v>
      </c>
      <c r="L93">
        <v>167.38</v>
      </c>
      <c r="M93" t="s">
        <v>22</v>
      </c>
      <c r="N93">
        <v>70.599999999999994</v>
      </c>
      <c r="O93">
        <v>128.86000000000001</v>
      </c>
      <c r="P93">
        <v>10</v>
      </c>
    </row>
    <row r="94" spans="1:16" x14ac:dyDescent="0.25">
      <c r="A94" t="s">
        <v>100</v>
      </c>
      <c r="B94" t="s">
        <v>41</v>
      </c>
      <c r="C94" t="s">
        <v>42</v>
      </c>
      <c r="D94">
        <v>2014</v>
      </c>
      <c r="E94" s="5">
        <f t="shared" si="1"/>
        <v>41640</v>
      </c>
      <c r="F94" t="s">
        <v>98</v>
      </c>
      <c r="G94" t="s">
        <v>19</v>
      </c>
      <c r="H94" t="s">
        <v>99</v>
      </c>
      <c r="I94" t="s">
        <v>21</v>
      </c>
      <c r="J94">
        <v>79</v>
      </c>
      <c r="K94">
        <v>32.32</v>
      </c>
      <c r="L94">
        <v>85.74</v>
      </c>
      <c r="M94" t="s">
        <v>24</v>
      </c>
      <c r="N94">
        <v>176.66</v>
      </c>
      <c r="O94">
        <v>236.28</v>
      </c>
      <c r="P94">
        <v>8</v>
      </c>
    </row>
    <row r="95" spans="1:16" x14ac:dyDescent="0.25">
      <c r="A95" t="s">
        <v>100</v>
      </c>
      <c r="B95" t="s">
        <v>41</v>
      </c>
      <c r="C95" t="s">
        <v>42</v>
      </c>
      <c r="D95">
        <v>2014</v>
      </c>
      <c r="E95" s="5">
        <f t="shared" si="1"/>
        <v>41640</v>
      </c>
      <c r="F95" t="s">
        <v>98</v>
      </c>
      <c r="G95" t="s">
        <v>23</v>
      </c>
      <c r="H95" t="s">
        <v>99</v>
      </c>
      <c r="I95" t="s">
        <v>21</v>
      </c>
      <c r="J95">
        <v>97</v>
      </c>
      <c r="K95">
        <v>9.26</v>
      </c>
      <c r="L95">
        <v>61.1</v>
      </c>
      <c r="M95" t="s">
        <v>22</v>
      </c>
      <c r="N95">
        <v>84.25</v>
      </c>
      <c r="O95">
        <v>55.53</v>
      </c>
      <c r="P95">
        <v>7</v>
      </c>
    </row>
    <row r="96" spans="1:16" x14ac:dyDescent="0.25">
      <c r="A96" t="s">
        <v>100</v>
      </c>
      <c r="B96" t="s">
        <v>41</v>
      </c>
      <c r="C96" t="s">
        <v>42</v>
      </c>
      <c r="D96">
        <v>2014</v>
      </c>
      <c r="E96" s="5">
        <f t="shared" si="1"/>
        <v>41640</v>
      </c>
      <c r="F96" t="s">
        <v>98</v>
      </c>
      <c r="G96" t="s">
        <v>26</v>
      </c>
      <c r="H96" t="s">
        <v>99</v>
      </c>
      <c r="I96" t="s">
        <v>21</v>
      </c>
      <c r="J96">
        <v>79</v>
      </c>
      <c r="K96">
        <v>19.03</v>
      </c>
      <c r="L96">
        <v>5.29</v>
      </c>
      <c r="M96" t="s">
        <v>22</v>
      </c>
      <c r="N96">
        <v>62.38</v>
      </c>
      <c r="O96">
        <v>88.29</v>
      </c>
      <c r="P96">
        <v>7</v>
      </c>
    </row>
    <row r="97" spans="1:16" x14ac:dyDescent="0.25">
      <c r="A97" t="s">
        <v>100</v>
      </c>
      <c r="B97" t="s">
        <v>41</v>
      </c>
      <c r="C97" t="s">
        <v>42</v>
      </c>
      <c r="D97">
        <v>2014</v>
      </c>
      <c r="E97" s="5">
        <f t="shared" si="1"/>
        <v>41640</v>
      </c>
      <c r="F97" t="s">
        <v>98</v>
      </c>
      <c r="G97" t="s">
        <v>27</v>
      </c>
      <c r="H97" t="s">
        <v>99</v>
      </c>
      <c r="I97" t="s">
        <v>21</v>
      </c>
      <c r="J97">
        <v>76</v>
      </c>
      <c r="K97">
        <v>19.98</v>
      </c>
      <c r="L97">
        <v>133.19999999999999</v>
      </c>
      <c r="M97" t="s">
        <v>22</v>
      </c>
      <c r="N97">
        <v>87.97</v>
      </c>
      <c r="O97">
        <v>154.11000000000001</v>
      </c>
      <c r="P97">
        <v>10</v>
      </c>
    </row>
    <row r="98" spans="1:16" x14ac:dyDescent="0.25">
      <c r="A98" t="s">
        <v>100</v>
      </c>
      <c r="B98" t="s">
        <v>41</v>
      </c>
      <c r="C98" t="s">
        <v>42</v>
      </c>
      <c r="D98">
        <v>2014</v>
      </c>
      <c r="E98" s="5">
        <f t="shared" si="1"/>
        <v>41640</v>
      </c>
      <c r="F98" t="s">
        <v>98</v>
      </c>
      <c r="G98" t="s">
        <v>28</v>
      </c>
      <c r="H98" t="s">
        <v>99</v>
      </c>
      <c r="I98" t="s">
        <v>21</v>
      </c>
      <c r="J98">
        <v>70</v>
      </c>
      <c r="K98">
        <v>13.65</v>
      </c>
      <c r="L98">
        <v>58.4</v>
      </c>
      <c r="M98" t="s">
        <v>24</v>
      </c>
      <c r="N98">
        <v>145.65</v>
      </c>
      <c r="O98">
        <v>72.83</v>
      </c>
      <c r="P98">
        <v>17</v>
      </c>
    </row>
    <row r="99" spans="1:16" x14ac:dyDescent="0.25">
      <c r="A99" t="s">
        <v>101</v>
      </c>
      <c r="B99" t="s">
        <v>41</v>
      </c>
      <c r="C99" t="s">
        <v>42</v>
      </c>
      <c r="D99">
        <v>2018</v>
      </c>
      <c r="E99" s="5">
        <f t="shared" si="1"/>
        <v>43101</v>
      </c>
      <c r="F99" t="s">
        <v>98</v>
      </c>
      <c r="G99" t="s">
        <v>23</v>
      </c>
      <c r="H99" t="s">
        <v>99</v>
      </c>
      <c r="I99" t="s">
        <v>21</v>
      </c>
      <c r="J99">
        <v>84</v>
      </c>
      <c r="K99">
        <v>20.399999999999999</v>
      </c>
      <c r="L99">
        <v>181.42</v>
      </c>
      <c r="M99" t="s">
        <v>22</v>
      </c>
      <c r="N99">
        <v>195.44</v>
      </c>
      <c r="O99">
        <v>116.72</v>
      </c>
      <c r="P99">
        <v>9</v>
      </c>
    </row>
    <row r="100" spans="1:16" x14ac:dyDescent="0.25">
      <c r="A100" t="s">
        <v>101</v>
      </c>
      <c r="B100" t="s">
        <v>41</v>
      </c>
      <c r="C100" t="s">
        <v>42</v>
      </c>
      <c r="D100">
        <v>2018</v>
      </c>
      <c r="E100" s="5">
        <f t="shared" si="1"/>
        <v>43101</v>
      </c>
      <c r="F100" t="s">
        <v>98</v>
      </c>
      <c r="G100" t="s">
        <v>27</v>
      </c>
      <c r="H100" t="s">
        <v>99</v>
      </c>
      <c r="I100" t="s">
        <v>21</v>
      </c>
      <c r="J100">
        <v>69</v>
      </c>
      <c r="K100">
        <v>10.64</v>
      </c>
      <c r="L100">
        <v>45.68</v>
      </c>
      <c r="M100" t="s">
        <v>22</v>
      </c>
      <c r="N100">
        <v>7.76</v>
      </c>
      <c r="O100">
        <v>61.79</v>
      </c>
      <c r="P100">
        <v>8</v>
      </c>
    </row>
    <row r="101" spans="1:16" x14ac:dyDescent="0.25">
      <c r="A101" t="s">
        <v>101</v>
      </c>
      <c r="B101" t="s">
        <v>41</v>
      </c>
      <c r="C101" t="s">
        <v>42</v>
      </c>
      <c r="D101">
        <v>2018</v>
      </c>
      <c r="E101" s="5">
        <f t="shared" si="1"/>
        <v>43101</v>
      </c>
      <c r="F101" t="s">
        <v>98</v>
      </c>
      <c r="G101" t="s">
        <v>28</v>
      </c>
      <c r="H101" t="s">
        <v>99</v>
      </c>
      <c r="I101" t="s">
        <v>21</v>
      </c>
      <c r="J101">
        <v>77</v>
      </c>
      <c r="K101">
        <v>13.1</v>
      </c>
      <c r="L101">
        <v>236.08</v>
      </c>
      <c r="M101" t="s">
        <v>22</v>
      </c>
      <c r="N101">
        <v>129.38</v>
      </c>
      <c r="O101">
        <v>101.85</v>
      </c>
      <c r="P101">
        <v>3</v>
      </c>
    </row>
    <row r="102" spans="1:16" x14ac:dyDescent="0.25">
      <c r="A102" t="s">
        <v>102</v>
      </c>
      <c r="B102" t="s">
        <v>96</v>
      </c>
      <c r="C102" t="s">
        <v>42</v>
      </c>
      <c r="D102">
        <v>2021</v>
      </c>
      <c r="E102" s="5">
        <f t="shared" si="1"/>
        <v>44197</v>
      </c>
      <c r="F102" t="s">
        <v>98</v>
      </c>
      <c r="G102" t="s">
        <v>23</v>
      </c>
      <c r="H102" t="s">
        <v>99</v>
      </c>
      <c r="I102" t="s">
        <v>21</v>
      </c>
      <c r="J102">
        <v>76</v>
      </c>
      <c r="K102">
        <v>20.190000000000001</v>
      </c>
      <c r="L102">
        <v>85.84</v>
      </c>
      <c r="M102" t="s">
        <v>22</v>
      </c>
      <c r="N102">
        <v>193.27</v>
      </c>
      <c r="O102">
        <v>96.64</v>
      </c>
      <c r="P102">
        <v>15</v>
      </c>
    </row>
    <row r="103" spans="1:16" x14ac:dyDescent="0.25">
      <c r="A103" t="s">
        <v>102</v>
      </c>
      <c r="B103" t="s">
        <v>96</v>
      </c>
      <c r="C103" t="s">
        <v>42</v>
      </c>
      <c r="D103">
        <v>2021</v>
      </c>
      <c r="E103" s="5">
        <f t="shared" si="1"/>
        <v>44197</v>
      </c>
      <c r="F103" t="s">
        <v>98</v>
      </c>
      <c r="G103" t="s">
        <v>25</v>
      </c>
      <c r="H103" t="s">
        <v>99</v>
      </c>
      <c r="I103" t="s">
        <v>21</v>
      </c>
      <c r="J103">
        <v>76</v>
      </c>
      <c r="K103">
        <v>20.69</v>
      </c>
      <c r="L103">
        <v>144.68</v>
      </c>
      <c r="M103" t="s">
        <v>24</v>
      </c>
      <c r="N103">
        <v>138.86000000000001</v>
      </c>
      <c r="O103">
        <v>69.430000000000007</v>
      </c>
      <c r="P103">
        <v>18</v>
      </c>
    </row>
    <row r="104" spans="1:16" x14ac:dyDescent="0.25">
      <c r="A104" t="s">
        <v>102</v>
      </c>
      <c r="B104" t="s">
        <v>96</v>
      </c>
      <c r="C104" t="s">
        <v>42</v>
      </c>
      <c r="D104">
        <v>2021</v>
      </c>
      <c r="E104" s="5">
        <f t="shared" si="1"/>
        <v>44197</v>
      </c>
      <c r="F104" t="s">
        <v>98</v>
      </c>
      <c r="G104" t="s">
        <v>27</v>
      </c>
      <c r="H104" t="s">
        <v>99</v>
      </c>
      <c r="I104" t="s">
        <v>21</v>
      </c>
      <c r="J104">
        <v>75</v>
      </c>
      <c r="K104">
        <v>6.5</v>
      </c>
      <c r="L104">
        <v>191.35</v>
      </c>
      <c r="M104" t="s">
        <v>22</v>
      </c>
      <c r="N104">
        <v>123.23</v>
      </c>
      <c r="O104">
        <v>61.62</v>
      </c>
      <c r="P104">
        <v>7</v>
      </c>
    </row>
    <row r="105" spans="1:16" x14ac:dyDescent="0.25">
      <c r="A105" t="s">
        <v>102</v>
      </c>
      <c r="B105" t="s">
        <v>96</v>
      </c>
      <c r="C105" t="s">
        <v>42</v>
      </c>
      <c r="D105">
        <v>2021</v>
      </c>
      <c r="E105" s="5">
        <f t="shared" si="1"/>
        <v>44197</v>
      </c>
      <c r="F105" t="s">
        <v>98</v>
      </c>
      <c r="G105" t="s">
        <v>39</v>
      </c>
      <c r="H105" t="s">
        <v>99</v>
      </c>
      <c r="I105" t="s">
        <v>21</v>
      </c>
      <c r="J105">
        <v>89</v>
      </c>
      <c r="K105">
        <v>18.82</v>
      </c>
      <c r="L105">
        <v>215.18</v>
      </c>
      <c r="M105" t="s">
        <v>22</v>
      </c>
      <c r="N105">
        <v>198.06</v>
      </c>
      <c r="O105">
        <v>99.03</v>
      </c>
      <c r="P105">
        <v>19</v>
      </c>
    </row>
    <row r="106" spans="1:16" x14ac:dyDescent="0.25">
      <c r="A106" t="s">
        <v>102</v>
      </c>
      <c r="B106" t="s">
        <v>96</v>
      </c>
      <c r="C106" t="s">
        <v>42</v>
      </c>
      <c r="D106">
        <v>2021</v>
      </c>
      <c r="E106" s="5">
        <f t="shared" si="1"/>
        <v>44197</v>
      </c>
      <c r="F106" t="s">
        <v>98</v>
      </c>
      <c r="G106" t="s">
        <v>28</v>
      </c>
      <c r="H106" t="s">
        <v>99</v>
      </c>
      <c r="I106" t="s">
        <v>21</v>
      </c>
      <c r="J106">
        <v>85</v>
      </c>
      <c r="K106">
        <v>5.77</v>
      </c>
      <c r="L106">
        <v>190.92</v>
      </c>
      <c r="M106" t="s">
        <v>24</v>
      </c>
      <c r="N106">
        <v>126.98</v>
      </c>
      <c r="O106">
        <v>63.49</v>
      </c>
      <c r="P106">
        <v>2</v>
      </c>
    </row>
    <row r="107" spans="1:16" x14ac:dyDescent="0.25">
      <c r="A107" t="s">
        <v>103</v>
      </c>
      <c r="B107" t="s">
        <v>104</v>
      </c>
      <c r="C107" t="s">
        <v>105</v>
      </c>
      <c r="D107">
        <v>2015</v>
      </c>
      <c r="E107" s="5">
        <f t="shared" si="1"/>
        <v>42005</v>
      </c>
      <c r="F107" t="s">
        <v>18</v>
      </c>
      <c r="G107" t="s">
        <v>23</v>
      </c>
      <c r="H107" t="s">
        <v>106</v>
      </c>
      <c r="I107" t="s">
        <v>21</v>
      </c>
      <c r="J107">
        <v>77</v>
      </c>
      <c r="K107">
        <v>0.84</v>
      </c>
      <c r="L107">
        <v>1.67</v>
      </c>
      <c r="M107" t="s">
        <v>24</v>
      </c>
      <c r="N107">
        <v>92.85</v>
      </c>
      <c r="O107">
        <v>46.42</v>
      </c>
      <c r="P107">
        <v>9</v>
      </c>
    </row>
    <row r="108" spans="1:16" x14ac:dyDescent="0.25">
      <c r="A108" t="s">
        <v>103</v>
      </c>
      <c r="B108" t="s">
        <v>104</v>
      </c>
      <c r="C108" t="s">
        <v>105</v>
      </c>
      <c r="D108">
        <v>2015</v>
      </c>
      <c r="E108" s="5">
        <f t="shared" si="1"/>
        <v>42005</v>
      </c>
      <c r="F108" t="s">
        <v>18</v>
      </c>
      <c r="G108" t="s">
        <v>27</v>
      </c>
      <c r="H108" t="s">
        <v>106</v>
      </c>
      <c r="I108" t="s">
        <v>21</v>
      </c>
      <c r="J108">
        <v>92</v>
      </c>
      <c r="K108">
        <v>2.9</v>
      </c>
      <c r="L108">
        <v>215.04</v>
      </c>
      <c r="M108" t="s">
        <v>22</v>
      </c>
      <c r="N108">
        <v>18.88</v>
      </c>
      <c r="O108">
        <v>9.44</v>
      </c>
      <c r="P108">
        <v>8</v>
      </c>
    </row>
    <row r="109" spans="1:16" x14ac:dyDescent="0.25">
      <c r="A109" t="s">
        <v>103</v>
      </c>
      <c r="B109" t="s">
        <v>104</v>
      </c>
      <c r="C109" t="s">
        <v>105</v>
      </c>
      <c r="D109">
        <v>2015</v>
      </c>
      <c r="E109" s="5">
        <f t="shared" si="1"/>
        <v>42005</v>
      </c>
      <c r="F109" t="s">
        <v>18</v>
      </c>
      <c r="G109" t="s">
        <v>28</v>
      </c>
      <c r="H109" t="s">
        <v>106</v>
      </c>
      <c r="I109" t="s">
        <v>21</v>
      </c>
      <c r="J109">
        <v>87</v>
      </c>
      <c r="K109">
        <v>9.34</v>
      </c>
      <c r="L109">
        <v>106.86</v>
      </c>
      <c r="M109" t="s">
        <v>24</v>
      </c>
      <c r="N109">
        <v>111.19</v>
      </c>
      <c r="O109">
        <v>63.78</v>
      </c>
      <c r="P109">
        <v>8</v>
      </c>
    </row>
    <row r="110" spans="1:16" x14ac:dyDescent="0.25">
      <c r="A110" t="s">
        <v>107</v>
      </c>
      <c r="B110" t="s">
        <v>104</v>
      </c>
      <c r="C110" t="s">
        <v>105</v>
      </c>
      <c r="D110">
        <v>2018</v>
      </c>
      <c r="E110" s="5">
        <f t="shared" si="1"/>
        <v>43101</v>
      </c>
      <c r="F110" t="s">
        <v>18</v>
      </c>
      <c r="G110" t="s">
        <v>23</v>
      </c>
      <c r="H110" t="s">
        <v>106</v>
      </c>
      <c r="I110" t="s">
        <v>21</v>
      </c>
      <c r="J110">
        <v>66</v>
      </c>
      <c r="K110">
        <v>7.95</v>
      </c>
      <c r="L110">
        <v>149.16999999999999</v>
      </c>
      <c r="M110" t="s">
        <v>22</v>
      </c>
      <c r="N110">
        <v>165.73</v>
      </c>
      <c r="O110">
        <v>82.86</v>
      </c>
      <c r="P110">
        <v>14</v>
      </c>
    </row>
    <row r="111" spans="1:16" x14ac:dyDescent="0.25">
      <c r="A111" t="s">
        <v>107</v>
      </c>
      <c r="B111" t="s">
        <v>104</v>
      </c>
      <c r="C111" t="s">
        <v>105</v>
      </c>
      <c r="D111">
        <v>2018</v>
      </c>
      <c r="E111" s="5">
        <f t="shared" si="1"/>
        <v>43101</v>
      </c>
      <c r="F111" t="s">
        <v>18</v>
      </c>
      <c r="G111" t="s">
        <v>27</v>
      </c>
      <c r="H111" t="s">
        <v>106</v>
      </c>
      <c r="I111" t="s">
        <v>21</v>
      </c>
      <c r="J111">
        <v>78</v>
      </c>
      <c r="K111">
        <v>7.03</v>
      </c>
      <c r="L111">
        <v>235.73</v>
      </c>
      <c r="M111" t="s">
        <v>24</v>
      </c>
      <c r="N111">
        <v>102.59</v>
      </c>
      <c r="O111">
        <v>51.3</v>
      </c>
      <c r="P111">
        <v>2</v>
      </c>
    </row>
    <row r="112" spans="1:16" x14ac:dyDescent="0.25">
      <c r="A112" t="s">
        <v>107</v>
      </c>
      <c r="B112" t="s">
        <v>104</v>
      </c>
      <c r="C112" t="s">
        <v>105</v>
      </c>
      <c r="D112">
        <v>2018</v>
      </c>
      <c r="E112" s="5">
        <f t="shared" si="1"/>
        <v>43101</v>
      </c>
      <c r="F112" t="s">
        <v>18</v>
      </c>
      <c r="G112" t="s">
        <v>28</v>
      </c>
      <c r="H112" t="s">
        <v>106</v>
      </c>
      <c r="I112" t="s">
        <v>21</v>
      </c>
      <c r="J112">
        <v>82</v>
      </c>
      <c r="K112">
        <v>7.37</v>
      </c>
      <c r="L112">
        <v>151.32</v>
      </c>
      <c r="M112" t="s">
        <v>22</v>
      </c>
      <c r="N112">
        <v>10.039999999999999</v>
      </c>
      <c r="O112">
        <v>22.55</v>
      </c>
      <c r="P112">
        <v>18</v>
      </c>
    </row>
    <row r="113" spans="1:16" x14ac:dyDescent="0.25">
      <c r="A113" t="s">
        <v>108</v>
      </c>
      <c r="B113" t="s">
        <v>109</v>
      </c>
      <c r="C113" t="s">
        <v>110</v>
      </c>
      <c r="D113">
        <v>2011</v>
      </c>
      <c r="E113" s="5">
        <f t="shared" si="1"/>
        <v>40544</v>
      </c>
      <c r="F113" t="s">
        <v>18</v>
      </c>
      <c r="G113" t="s">
        <v>19</v>
      </c>
      <c r="H113" t="s">
        <v>76</v>
      </c>
      <c r="I113" t="s">
        <v>21</v>
      </c>
      <c r="J113">
        <v>92</v>
      </c>
      <c r="K113">
        <v>6.76</v>
      </c>
      <c r="L113">
        <v>68.11</v>
      </c>
      <c r="M113" t="s">
        <v>22</v>
      </c>
      <c r="N113">
        <v>12.85</v>
      </c>
      <c r="O113">
        <v>52.77</v>
      </c>
      <c r="P113">
        <v>15</v>
      </c>
    </row>
    <row r="114" spans="1:16" x14ac:dyDescent="0.25">
      <c r="A114" t="s">
        <v>108</v>
      </c>
      <c r="B114" t="s">
        <v>109</v>
      </c>
      <c r="C114" t="s">
        <v>110</v>
      </c>
      <c r="D114">
        <v>2011</v>
      </c>
      <c r="E114" s="5">
        <f t="shared" si="1"/>
        <v>40544</v>
      </c>
      <c r="F114" t="s">
        <v>18</v>
      </c>
      <c r="G114" t="s">
        <v>26</v>
      </c>
      <c r="H114" t="s">
        <v>76</v>
      </c>
      <c r="I114" t="s">
        <v>21</v>
      </c>
      <c r="J114">
        <v>96</v>
      </c>
      <c r="K114">
        <v>2.85</v>
      </c>
      <c r="L114">
        <v>249.24</v>
      </c>
      <c r="M114" t="s">
        <v>24</v>
      </c>
      <c r="N114">
        <v>90</v>
      </c>
      <c r="O114">
        <v>45</v>
      </c>
      <c r="P114">
        <v>2</v>
      </c>
    </row>
    <row r="115" spans="1:16" x14ac:dyDescent="0.25">
      <c r="A115" t="s">
        <v>108</v>
      </c>
      <c r="B115" t="s">
        <v>109</v>
      </c>
      <c r="C115" t="s">
        <v>110</v>
      </c>
      <c r="D115">
        <v>2011</v>
      </c>
      <c r="E115" s="5">
        <f t="shared" si="1"/>
        <v>40544</v>
      </c>
      <c r="F115" t="s">
        <v>18</v>
      </c>
      <c r="G115" t="s">
        <v>28</v>
      </c>
      <c r="H115" t="s">
        <v>76</v>
      </c>
      <c r="I115" t="s">
        <v>21</v>
      </c>
      <c r="J115">
        <v>74</v>
      </c>
      <c r="K115">
        <v>3.28</v>
      </c>
      <c r="L115">
        <v>27.05</v>
      </c>
      <c r="M115" t="s">
        <v>22</v>
      </c>
      <c r="N115">
        <v>36.36</v>
      </c>
      <c r="O115">
        <v>18.18</v>
      </c>
      <c r="P115">
        <v>15</v>
      </c>
    </row>
    <row r="116" spans="1:16" x14ac:dyDescent="0.25">
      <c r="A116" t="s">
        <v>111</v>
      </c>
      <c r="B116" t="s">
        <v>112</v>
      </c>
      <c r="C116" t="s">
        <v>113</v>
      </c>
      <c r="D116">
        <v>2016</v>
      </c>
      <c r="E116" s="5">
        <f t="shared" si="1"/>
        <v>42370</v>
      </c>
      <c r="F116" t="s">
        <v>18</v>
      </c>
      <c r="G116" t="s">
        <v>23</v>
      </c>
      <c r="H116" t="s">
        <v>76</v>
      </c>
      <c r="I116" t="s">
        <v>21</v>
      </c>
      <c r="J116">
        <v>73</v>
      </c>
      <c r="K116">
        <v>8.15</v>
      </c>
      <c r="L116">
        <v>137.97</v>
      </c>
      <c r="M116" t="s">
        <v>22</v>
      </c>
      <c r="N116">
        <v>93.69</v>
      </c>
      <c r="O116">
        <v>46.84</v>
      </c>
      <c r="P116">
        <v>10</v>
      </c>
    </row>
    <row r="117" spans="1:16" x14ac:dyDescent="0.25">
      <c r="A117" t="s">
        <v>111</v>
      </c>
      <c r="B117" t="s">
        <v>112</v>
      </c>
      <c r="C117" t="s">
        <v>113</v>
      </c>
      <c r="D117">
        <v>2016</v>
      </c>
      <c r="E117" s="5">
        <f t="shared" si="1"/>
        <v>42370</v>
      </c>
      <c r="F117" t="s">
        <v>18</v>
      </c>
      <c r="G117" t="s">
        <v>27</v>
      </c>
      <c r="H117" t="s">
        <v>76</v>
      </c>
      <c r="I117" t="s">
        <v>21</v>
      </c>
      <c r="J117">
        <v>78</v>
      </c>
      <c r="K117">
        <v>8.66</v>
      </c>
      <c r="L117">
        <v>206.41</v>
      </c>
      <c r="M117" t="s">
        <v>24</v>
      </c>
      <c r="N117">
        <v>5.22</v>
      </c>
      <c r="O117">
        <v>76.42</v>
      </c>
      <c r="P117">
        <v>14</v>
      </c>
    </row>
    <row r="118" spans="1:16" x14ac:dyDescent="0.25">
      <c r="A118" t="s">
        <v>111</v>
      </c>
      <c r="B118" t="s">
        <v>112</v>
      </c>
      <c r="C118" t="s">
        <v>113</v>
      </c>
      <c r="D118">
        <v>2016</v>
      </c>
      <c r="E118" s="5">
        <f t="shared" si="1"/>
        <v>42370</v>
      </c>
      <c r="F118" t="s">
        <v>18</v>
      </c>
      <c r="G118" t="s">
        <v>28</v>
      </c>
      <c r="H118" t="s">
        <v>76</v>
      </c>
      <c r="I118" t="s">
        <v>21</v>
      </c>
      <c r="J118">
        <v>80</v>
      </c>
      <c r="K118">
        <v>3.68</v>
      </c>
      <c r="L118">
        <v>189.35</v>
      </c>
      <c r="M118" t="s">
        <v>22</v>
      </c>
      <c r="N118">
        <v>126.95</v>
      </c>
      <c r="O118">
        <v>63.48</v>
      </c>
      <c r="P118">
        <v>6</v>
      </c>
    </row>
    <row r="119" spans="1:16" x14ac:dyDescent="0.25">
      <c r="A119" t="s">
        <v>114</v>
      </c>
      <c r="B119" t="s">
        <v>78</v>
      </c>
      <c r="C119" t="s">
        <v>115</v>
      </c>
      <c r="D119">
        <v>2015</v>
      </c>
      <c r="E119" s="5">
        <f t="shared" si="1"/>
        <v>42005</v>
      </c>
      <c r="F119" t="s">
        <v>18</v>
      </c>
      <c r="G119" t="s">
        <v>19</v>
      </c>
      <c r="H119" t="s">
        <v>116</v>
      </c>
      <c r="I119" t="s">
        <v>21</v>
      </c>
      <c r="J119">
        <v>98</v>
      </c>
      <c r="K119">
        <v>2.95</v>
      </c>
      <c r="L119">
        <v>220.33</v>
      </c>
      <c r="M119" t="s">
        <v>22</v>
      </c>
      <c r="N119">
        <v>99.52</v>
      </c>
      <c r="O119">
        <v>49.76</v>
      </c>
      <c r="P119">
        <v>20</v>
      </c>
    </row>
    <row r="120" spans="1:16" x14ac:dyDescent="0.25">
      <c r="A120" t="s">
        <v>114</v>
      </c>
      <c r="B120" t="s">
        <v>78</v>
      </c>
      <c r="C120" t="s">
        <v>115</v>
      </c>
      <c r="D120">
        <v>2015</v>
      </c>
      <c r="E120" s="5">
        <f t="shared" si="1"/>
        <v>42005</v>
      </c>
      <c r="F120" t="s">
        <v>18</v>
      </c>
      <c r="G120" t="s">
        <v>23</v>
      </c>
      <c r="H120" t="s">
        <v>116</v>
      </c>
      <c r="I120" t="s">
        <v>21</v>
      </c>
      <c r="J120">
        <v>89</v>
      </c>
      <c r="K120">
        <v>1.67</v>
      </c>
      <c r="L120">
        <v>138.16</v>
      </c>
      <c r="M120" t="s">
        <v>22</v>
      </c>
      <c r="N120">
        <v>112.69</v>
      </c>
      <c r="O120">
        <v>56.34</v>
      </c>
      <c r="P120">
        <v>3</v>
      </c>
    </row>
    <row r="121" spans="1:16" x14ac:dyDescent="0.25">
      <c r="A121" t="s">
        <v>114</v>
      </c>
      <c r="B121" t="s">
        <v>78</v>
      </c>
      <c r="C121" t="s">
        <v>115</v>
      </c>
      <c r="D121">
        <v>2015</v>
      </c>
      <c r="E121" s="5">
        <f t="shared" si="1"/>
        <v>42005</v>
      </c>
      <c r="F121" t="s">
        <v>18</v>
      </c>
      <c r="G121" t="s">
        <v>26</v>
      </c>
      <c r="H121" t="s">
        <v>116</v>
      </c>
      <c r="I121" t="s">
        <v>21</v>
      </c>
      <c r="J121">
        <v>86</v>
      </c>
      <c r="K121">
        <v>8.34</v>
      </c>
      <c r="L121">
        <v>125.1</v>
      </c>
      <c r="M121" t="s">
        <v>22</v>
      </c>
      <c r="N121">
        <v>144.74</v>
      </c>
      <c r="O121">
        <v>72.37</v>
      </c>
      <c r="P121">
        <v>8</v>
      </c>
    </row>
    <row r="122" spans="1:16" x14ac:dyDescent="0.25">
      <c r="A122" t="s">
        <v>114</v>
      </c>
      <c r="B122" t="s">
        <v>78</v>
      </c>
      <c r="C122" t="s">
        <v>115</v>
      </c>
      <c r="D122">
        <v>2015</v>
      </c>
      <c r="E122" s="5">
        <f t="shared" si="1"/>
        <v>42005</v>
      </c>
      <c r="F122" t="s">
        <v>18</v>
      </c>
      <c r="G122" t="s">
        <v>27</v>
      </c>
      <c r="H122" t="s">
        <v>116</v>
      </c>
      <c r="I122" t="s">
        <v>21</v>
      </c>
      <c r="J122">
        <v>77</v>
      </c>
      <c r="K122">
        <v>2.5099999999999998</v>
      </c>
      <c r="L122">
        <v>138.27000000000001</v>
      </c>
      <c r="M122" t="s">
        <v>22</v>
      </c>
      <c r="N122">
        <v>79.8</v>
      </c>
      <c r="O122">
        <v>39.9</v>
      </c>
      <c r="P122">
        <v>16</v>
      </c>
    </row>
    <row r="123" spans="1:16" x14ac:dyDescent="0.25">
      <c r="A123" t="s">
        <v>114</v>
      </c>
      <c r="B123" t="s">
        <v>78</v>
      </c>
      <c r="C123" t="s">
        <v>115</v>
      </c>
      <c r="D123">
        <v>2015</v>
      </c>
      <c r="E123" s="5">
        <f t="shared" si="1"/>
        <v>42005</v>
      </c>
      <c r="F123" t="s">
        <v>18</v>
      </c>
      <c r="G123" t="s">
        <v>28</v>
      </c>
      <c r="H123" t="s">
        <v>116</v>
      </c>
      <c r="I123" t="s">
        <v>21</v>
      </c>
      <c r="J123">
        <v>68</v>
      </c>
      <c r="K123">
        <v>7.75</v>
      </c>
      <c r="L123">
        <v>213.75</v>
      </c>
      <c r="M123" t="s">
        <v>24</v>
      </c>
      <c r="N123">
        <v>71.28</v>
      </c>
      <c r="O123">
        <v>62.69</v>
      </c>
      <c r="P123">
        <v>8</v>
      </c>
    </row>
    <row r="124" spans="1:16" x14ac:dyDescent="0.25">
      <c r="A124" t="s">
        <v>117</v>
      </c>
      <c r="B124" t="s">
        <v>118</v>
      </c>
      <c r="C124" t="s">
        <v>119</v>
      </c>
      <c r="D124">
        <v>2015</v>
      </c>
      <c r="E124" s="5">
        <f t="shared" si="1"/>
        <v>42005</v>
      </c>
      <c r="F124" t="s">
        <v>18</v>
      </c>
      <c r="G124" t="s">
        <v>19</v>
      </c>
      <c r="H124" t="s">
        <v>120</v>
      </c>
      <c r="I124" t="s">
        <v>21</v>
      </c>
      <c r="J124">
        <v>77</v>
      </c>
      <c r="K124">
        <v>8.39</v>
      </c>
      <c r="L124">
        <v>145.4</v>
      </c>
      <c r="M124" t="s">
        <v>22</v>
      </c>
      <c r="N124">
        <v>133.69</v>
      </c>
      <c r="O124">
        <v>73.73</v>
      </c>
      <c r="P124">
        <v>14</v>
      </c>
    </row>
    <row r="125" spans="1:16" x14ac:dyDescent="0.25">
      <c r="A125" t="s">
        <v>117</v>
      </c>
      <c r="B125" t="s">
        <v>118</v>
      </c>
      <c r="C125" t="s">
        <v>119</v>
      </c>
      <c r="D125">
        <v>2015</v>
      </c>
      <c r="E125" s="5">
        <f t="shared" si="1"/>
        <v>42005</v>
      </c>
      <c r="F125" t="s">
        <v>18</v>
      </c>
      <c r="G125" t="s">
        <v>23</v>
      </c>
      <c r="H125" t="s">
        <v>120</v>
      </c>
      <c r="I125" t="s">
        <v>21</v>
      </c>
      <c r="J125">
        <v>73</v>
      </c>
      <c r="K125">
        <v>5.56</v>
      </c>
      <c r="L125">
        <v>136.31</v>
      </c>
      <c r="M125" t="s">
        <v>22</v>
      </c>
      <c r="N125">
        <v>93.79</v>
      </c>
      <c r="O125">
        <v>46.9</v>
      </c>
      <c r="P125">
        <v>6</v>
      </c>
    </row>
    <row r="126" spans="1:16" x14ac:dyDescent="0.25">
      <c r="A126" t="s">
        <v>117</v>
      </c>
      <c r="B126" t="s">
        <v>118</v>
      </c>
      <c r="C126" t="s">
        <v>119</v>
      </c>
      <c r="D126">
        <v>2015</v>
      </c>
      <c r="E126" s="5">
        <f t="shared" si="1"/>
        <v>42005</v>
      </c>
      <c r="F126" t="s">
        <v>18</v>
      </c>
      <c r="G126" t="s">
        <v>28</v>
      </c>
      <c r="H126" t="s">
        <v>120</v>
      </c>
      <c r="I126" t="s">
        <v>21</v>
      </c>
      <c r="J126">
        <v>73</v>
      </c>
      <c r="K126">
        <v>8.57</v>
      </c>
      <c r="L126">
        <v>103.28</v>
      </c>
      <c r="M126" t="s">
        <v>22</v>
      </c>
      <c r="N126">
        <v>67.040000000000006</v>
      </c>
      <c r="O126">
        <v>45.05</v>
      </c>
      <c r="P126">
        <v>12</v>
      </c>
    </row>
    <row r="127" spans="1:16" x14ac:dyDescent="0.25">
      <c r="A127" t="s">
        <v>121</v>
      </c>
      <c r="B127" t="s">
        <v>118</v>
      </c>
      <c r="C127" t="s">
        <v>119</v>
      </c>
      <c r="D127">
        <v>2020</v>
      </c>
      <c r="E127" s="5">
        <f t="shared" si="1"/>
        <v>43831</v>
      </c>
      <c r="F127" t="s">
        <v>122</v>
      </c>
      <c r="G127" t="s">
        <v>23</v>
      </c>
      <c r="H127" t="s">
        <v>120</v>
      </c>
      <c r="I127" t="s">
        <v>21</v>
      </c>
      <c r="J127">
        <v>94</v>
      </c>
      <c r="K127">
        <v>8.23</v>
      </c>
      <c r="L127">
        <v>245.22</v>
      </c>
      <c r="M127" t="s">
        <v>24</v>
      </c>
      <c r="N127">
        <v>101.59</v>
      </c>
      <c r="O127">
        <v>50.8</v>
      </c>
      <c r="P127">
        <v>16</v>
      </c>
    </row>
    <row r="128" spans="1:16" x14ac:dyDescent="0.25">
      <c r="A128" t="s">
        <v>121</v>
      </c>
      <c r="B128" t="s">
        <v>118</v>
      </c>
      <c r="C128" t="s">
        <v>119</v>
      </c>
      <c r="D128">
        <v>2020</v>
      </c>
      <c r="E128" s="5">
        <f t="shared" si="1"/>
        <v>43831</v>
      </c>
      <c r="F128" t="s">
        <v>122</v>
      </c>
      <c r="G128" t="s">
        <v>25</v>
      </c>
      <c r="H128" t="s">
        <v>120</v>
      </c>
      <c r="I128" t="s">
        <v>21</v>
      </c>
      <c r="J128">
        <v>69</v>
      </c>
      <c r="K128">
        <v>8.75</v>
      </c>
      <c r="L128">
        <v>110.64</v>
      </c>
      <c r="M128" t="s">
        <v>22</v>
      </c>
      <c r="N128">
        <v>107.56</v>
      </c>
      <c r="O128">
        <v>53.78</v>
      </c>
      <c r="P128">
        <v>4</v>
      </c>
    </row>
    <row r="129" spans="1:16" x14ac:dyDescent="0.25">
      <c r="A129" t="s">
        <v>121</v>
      </c>
      <c r="B129" t="s">
        <v>118</v>
      </c>
      <c r="C129" t="s">
        <v>119</v>
      </c>
      <c r="D129">
        <v>2020</v>
      </c>
      <c r="E129" s="5">
        <f t="shared" si="1"/>
        <v>43831</v>
      </c>
      <c r="F129" t="s">
        <v>122</v>
      </c>
      <c r="G129" t="s">
        <v>27</v>
      </c>
      <c r="H129" t="s">
        <v>120</v>
      </c>
      <c r="I129" t="s">
        <v>21</v>
      </c>
      <c r="J129">
        <v>74</v>
      </c>
      <c r="K129">
        <v>0.84</v>
      </c>
      <c r="L129">
        <v>195.6</v>
      </c>
      <c r="M129" t="s">
        <v>24</v>
      </c>
      <c r="N129">
        <v>56.68</v>
      </c>
      <c r="O129">
        <v>28.34</v>
      </c>
      <c r="P129">
        <v>12</v>
      </c>
    </row>
    <row r="130" spans="1:16" x14ac:dyDescent="0.25">
      <c r="A130" t="s">
        <v>121</v>
      </c>
      <c r="B130" t="s">
        <v>118</v>
      </c>
      <c r="C130" t="s">
        <v>119</v>
      </c>
      <c r="D130">
        <v>2020</v>
      </c>
      <c r="E130" s="5">
        <f t="shared" si="1"/>
        <v>43831</v>
      </c>
      <c r="F130" t="s">
        <v>122</v>
      </c>
      <c r="G130" t="s">
        <v>39</v>
      </c>
      <c r="H130" t="s">
        <v>120</v>
      </c>
      <c r="I130" t="s">
        <v>21</v>
      </c>
      <c r="J130">
        <v>78</v>
      </c>
      <c r="K130">
        <v>8.5399999999999991</v>
      </c>
      <c r="L130">
        <v>214.98</v>
      </c>
      <c r="M130" t="s">
        <v>24</v>
      </c>
      <c r="N130">
        <v>79.099999999999994</v>
      </c>
      <c r="O130">
        <v>39.549999999999997</v>
      </c>
      <c r="P130">
        <v>15</v>
      </c>
    </row>
    <row r="131" spans="1:16" x14ac:dyDescent="0.25">
      <c r="A131" t="s">
        <v>121</v>
      </c>
      <c r="B131" t="s">
        <v>118</v>
      </c>
      <c r="C131" t="s">
        <v>119</v>
      </c>
      <c r="D131">
        <v>2020</v>
      </c>
      <c r="E131" s="5">
        <f t="shared" ref="E131:E194" si="2">DATE(D131,1,1)</f>
        <v>43831</v>
      </c>
      <c r="F131" t="s">
        <v>122</v>
      </c>
      <c r="G131" t="s">
        <v>28</v>
      </c>
      <c r="H131" t="s">
        <v>120</v>
      </c>
      <c r="I131" t="s">
        <v>21</v>
      </c>
      <c r="J131">
        <v>68</v>
      </c>
      <c r="K131">
        <v>2.42</v>
      </c>
      <c r="L131">
        <v>171.42</v>
      </c>
      <c r="M131" t="s">
        <v>22</v>
      </c>
      <c r="N131">
        <v>61.04</v>
      </c>
      <c r="O131">
        <v>30.52</v>
      </c>
      <c r="P131">
        <v>2</v>
      </c>
    </row>
    <row r="132" spans="1:16" x14ac:dyDescent="0.25">
      <c r="A132" t="s">
        <v>123</v>
      </c>
      <c r="B132" t="s">
        <v>124</v>
      </c>
      <c r="C132" t="s">
        <v>125</v>
      </c>
      <c r="D132">
        <v>2019</v>
      </c>
      <c r="E132" s="5">
        <f t="shared" si="2"/>
        <v>43466</v>
      </c>
      <c r="F132" t="s">
        <v>18</v>
      </c>
      <c r="G132" t="s">
        <v>23</v>
      </c>
      <c r="H132" t="s">
        <v>126</v>
      </c>
      <c r="I132" t="s">
        <v>51</v>
      </c>
      <c r="J132">
        <v>84</v>
      </c>
      <c r="K132">
        <v>6.37</v>
      </c>
      <c r="L132">
        <v>218.27</v>
      </c>
      <c r="M132" t="s">
        <v>24</v>
      </c>
      <c r="N132">
        <v>91.52</v>
      </c>
      <c r="O132">
        <v>46.16</v>
      </c>
      <c r="P132">
        <v>0</v>
      </c>
    </row>
    <row r="133" spans="1:16" x14ac:dyDescent="0.25">
      <c r="A133" t="s">
        <v>123</v>
      </c>
      <c r="B133" t="s">
        <v>124</v>
      </c>
      <c r="C133" t="s">
        <v>125</v>
      </c>
      <c r="D133">
        <v>2019</v>
      </c>
      <c r="E133" s="5">
        <f t="shared" si="2"/>
        <v>43466</v>
      </c>
      <c r="F133" t="s">
        <v>18</v>
      </c>
      <c r="G133" t="s">
        <v>28</v>
      </c>
      <c r="H133" t="s">
        <v>126</v>
      </c>
      <c r="I133" t="s">
        <v>51</v>
      </c>
      <c r="J133">
        <v>71</v>
      </c>
      <c r="K133">
        <v>3</v>
      </c>
      <c r="L133">
        <v>94.34</v>
      </c>
      <c r="M133" t="s">
        <v>22</v>
      </c>
      <c r="N133">
        <v>33.39</v>
      </c>
      <c r="O133">
        <v>17.34</v>
      </c>
      <c r="P133">
        <v>18</v>
      </c>
    </row>
    <row r="134" spans="1:16" x14ac:dyDescent="0.25">
      <c r="A134" t="s">
        <v>127</v>
      </c>
      <c r="B134" t="s">
        <v>128</v>
      </c>
      <c r="C134" t="s">
        <v>129</v>
      </c>
      <c r="D134">
        <v>2018</v>
      </c>
      <c r="E134" s="5">
        <f t="shared" si="2"/>
        <v>43101</v>
      </c>
      <c r="F134" t="s">
        <v>130</v>
      </c>
      <c r="G134" t="s">
        <v>28</v>
      </c>
      <c r="H134" t="s">
        <v>131</v>
      </c>
      <c r="I134" t="s">
        <v>51</v>
      </c>
      <c r="J134">
        <v>74</v>
      </c>
      <c r="K134">
        <v>1.83</v>
      </c>
      <c r="L134">
        <v>152.76</v>
      </c>
      <c r="M134" t="s">
        <v>24</v>
      </c>
      <c r="N134">
        <v>79.599999999999994</v>
      </c>
      <c r="O134">
        <v>39.799999999999997</v>
      </c>
      <c r="P134">
        <v>15</v>
      </c>
    </row>
    <row r="135" spans="1:16" x14ac:dyDescent="0.25">
      <c r="A135" t="s">
        <v>127</v>
      </c>
      <c r="B135" t="s">
        <v>128</v>
      </c>
      <c r="C135" t="s">
        <v>129</v>
      </c>
      <c r="D135">
        <v>2018</v>
      </c>
      <c r="E135" s="5">
        <f t="shared" si="2"/>
        <v>43101</v>
      </c>
      <c r="F135" t="s">
        <v>130</v>
      </c>
      <c r="G135" t="s">
        <v>23</v>
      </c>
      <c r="H135" t="s">
        <v>131</v>
      </c>
      <c r="I135" t="s">
        <v>51</v>
      </c>
      <c r="J135">
        <v>68</v>
      </c>
      <c r="K135">
        <v>2.4</v>
      </c>
      <c r="L135">
        <v>159.84</v>
      </c>
      <c r="M135" t="s">
        <v>24</v>
      </c>
      <c r="N135">
        <v>94.62</v>
      </c>
      <c r="O135">
        <v>47.31</v>
      </c>
      <c r="P135">
        <v>14</v>
      </c>
    </row>
    <row r="136" spans="1:16" x14ac:dyDescent="0.25">
      <c r="A136" t="s">
        <v>127</v>
      </c>
      <c r="B136" t="s">
        <v>128</v>
      </c>
      <c r="C136" t="s">
        <v>129</v>
      </c>
      <c r="D136">
        <v>2018</v>
      </c>
      <c r="E136" s="5">
        <f t="shared" si="2"/>
        <v>43101</v>
      </c>
      <c r="F136" t="s">
        <v>130</v>
      </c>
      <c r="G136" t="s">
        <v>27</v>
      </c>
      <c r="H136" t="s">
        <v>131</v>
      </c>
      <c r="I136" t="s">
        <v>51</v>
      </c>
      <c r="J136">
        <v>91</v>
      </c>
      <c r="K136">
        <v>5.51</v>
      </c>
      <c r="L136">
        <v>19.39</v>
      </c>
      <c r="M136" t="s">
        <v>24</v>
      </c>
      <c r="N136">
        <v>189.32</v>
      </c>
      <c r="O136">
        <v>94.66</v>
      </c>
      <c r="P136">
        <v>9</v>
      </c>
    </row>
    <row r="137" spans="1:16" x14ac:dyDescent="0.25">
      <c r="A137" t="s">
        <v>127</v>
      </c>
      <c r="B137" t="s">
        <v>128</v>
      </c>
      <c r="C137" t="s">
        <v>129</v>
      </c>
      <c r="D137">
        <v>2018</v>
      </c>
      <c r="E137" s="5">
        <f t="shared" si="2"/>
        <v>43101</v>
      </c>
      <c r="F137" t="s">
        <v>130</v>
      </c>
      <c r="G137" t="s">
        <v>37</v>
      </c>
      <c r="H137" t="s">
        <v>131</v>
      </c>
      <c r="I137" t="s">
        <v>51</v>
      </c>
      <c r="J137">
        <v>97</v>
      </c>
      <c r="K137">
        <v>4.3</v>
      </c>
      <c r="L137">
        <v>63.27</v>
      </c>
      <c r="M137" t="s">
        <v>24</v>
      </c>
      <c r="N137">
        <v>169.83</v>
      </c>
      <c r="O137">
        <v>84.92</v>
      </c>
      <c r="P137">
        <v>12</v>
      </c>
    </row>
    <row r="138" spans="1:16" x14ac:dyDescent="0.25">
      <c r="A138" t="s">
        <v>132</v>
      </c>
      <c r="B138" t="s">
        <v>128</v>
      </c>
      <c r="C138" t="s">
        <v>129</v>
      </c>
      <c r="D138">
        <v>2021</v>
      </c>
      <c r="E138" s="5">
        <f t="shared" si="2"/>
        <v>44197</v>
      </c>
      <c r="F138" t="s">
        <v>130</v>
      </c>
      <c r="G138" t="s">
        <v>28</v>
      </c>
      <c r="H138" t="s">
        <v>131</v>
      </c>
      <c r="I138" t="s">
        <v>51</v>
      </c>
      <c r="J138">
        <v>63</v>
      </c>
      <c r="K138">
        <v>2.4500000000000002</v>
      </c>
      <c r="L138">
        <v>143.41</v>
      </c>
      <c r="M138" t="s">
        <v>24</v>
      </c>
      <c r="N138">
        <v>117.09</v>
      </c>
      <c r="O138">
        <v>58.55</v>
      </c>
      <c r="P138">
        <v>9</v>
      </c>
    </row>
    <row r="139" spans="1:16" x14ac:dyDescent="0.25">
      <c r="A139" t="s">
        <v>132</v>
      </c>
      <c r="B139" t="s">
        <v>128</v>
      </c>
      <c r="C139" t="s">
        <v>129</v>
      </c>
      <c r="D139">
        <v>2021</v>
      </c>
      <c r="E139" s="5">
        <f t="shared" si="2"/>
        <v>44197</v>
      </c>
      <c r="F139" t="s">
        <v>130</v>
      </c>
      <c r="G139" t="s">
        <v>23</v>
      </c>
      <c r="H139" t="s">
        <v>131</v>
      </c>
      <c r="I139" t="s">
        <v>51</v>
      </c>
      <c r="J139">
        <v>95</v>
      </c>
      <c r="K139">
        <v>6.62</v>
      </c>
      <c r="L139">
        <v>69.349999999999994</v>
      </c>
      <c r="M139" t="s">
        <v>24</v>
      </c>
      <c r="N139">
        <v>115.36</v>
      </c>
      <c r="O139">
        <v>57.68</v>
      </c>
      <c r="P139">
        <v>1</v>
      </c>
    </row>
    <row r="140" spans="1:16" x14ac:dyDescent="0.25">
      <c r="A140" t="s">
        <v>132</v>
      </c>
      <c r="B140" t="s">
        <v>128</v>
      </c>
      <c r="C140" t="s">
        <v>129</v>
      </c>
      <c r="D140">
        <v>2021</v>
      </c>
      <c r="E140" s="5">
        <f t="shared" si="2"/>
        <v>44197</v>
      </c>
      <c r="F140" t="s">
        <v>130</v>
      </c>
      <c r="G140" t="s">
        <v>27</v>
      </c>
      <c r="H140" t="s">
        <v>131</v>
      </c>
      <c r="I140" t="s">
        <v>51</v>
      </c>
      <c r="J140">
        <v>88</v>
      </c>
      <c r="K140">
        <v>5.0199999999999996</v>
      </c>
      <c r="L140">
        <v>226.13</v>
      </c>
      <c r="M140" t="s">
        <v>24</v>
      </c>
      <c r="N140">
        <v>60.81</v>
      </c>
      <c r="O140">
        <v>41.11</v>
      </c>
      <c r="P140">
        <v>19</v>
      </c>
    </row>
    <row r="141" spans="1:16" x14ac:dyDescent="0.25">
      <c r="A141" t="s">
        <v>132</v>
      </c>
      <c r="B141" t="s">
        <v>128</v>
      </c>
      <c r="C141" t="s">
        <v>129</v>
      </c>
      <c r="D141">
        <v>2021</v>
      </c>
      <c r="E141" s="5">
        <f t="shared" si="2"/>
        <v>44197</v>
      </c>
      <c r="F141" t="s">
        <v>130</v>
      </c>
      <c r="G141" t="s">
        <v>37</v>
      </c>
      <c r="H141" t="s">
        <v>131</v>
      </c>
      <c r="I141" t="s">
        <v>51</v>
      </c>
      <c r="J141">
        <v>77</v>
      </c>
      <c r="K141">
        <v>6.4</v>
      </c>
      <c r="L141">
        <v>155.6</v>
      </c>
      <c r="M141" t="s">
        <v>24</v>
      </c>
      <c r="N141">
        <v>137.16</v>
      </c>
      <c r="O141">
        <v>68.58</v>
      </c>
      <c r="P141">
        <v>4</v>
      </c>
    </row>
    <row r="142" spans="1:16" x14ac:dyDescent="0.25">
      <c r="A142" t="s">
        <v>133</v>
      </c>
      <c r="B142" t="s">
        <v>54</v>
      </c>
      <c r="C142" t="s">
        <v>55</v>
      </c>
      <c r="D142">
        <v>2016</v>
      </c>
      <c r="E142" s="5">
        <f t="shared" si="2"/>
        <v>42370</v>
      </c>
      <c r="F142" t="s">
        <v>35</v>
      </c>
      <c r="G142" t="s">
        <v>23</v>
      </c>
      <c r="H142" t="s">
        <v>56</v>
      </c>
      <c r="I142" t="s">
        <v>51</v>
      </c>
      <c r="J142">
        <v>68</v>
      </c>
      <c r="K142">
        <v>9.0399999999999991</v>
      </c>
      <c r="L142">
        <v>161.94</v>
      </c>
      <c r="M142" t="s">
        <v>24</v>
      </c>
      <c r="N142">
        <v>65.239999999999995</v>
      </c>
      <c r="O142">
        <v>44.91</v>
      </c>
      <c r="P142">
        <v>18</v>
      </c>
    </row>
    <row r="143" spans="1:16" x14ac:dyDescent="0.25">
      <c r="A143" t="s">
        <v>133</v>
      </c>
      <c r="B143" t="s">
        <v>54</v>
      </c>
      <c r="C143" t="s">
        <v>55</v>
      </c>
      <c r="D143">
        <v>2016</v>
      </c>
      <c r="E143" s="5">
        <f t="shared" si="2"/>
        <v>42370</v>
      </c>
      <c r="F143" t="s">
        <v>35</v>
      </c>
      <c r="G143" t="s">
        <v>25</v>
      </c>
      <c r="H143" t="s">
        <v>56</v>
      </c>
      <c r="I143" t="s">
        <v>51</v>
      </c>
      <c r="J143">
        <v>85</v>
      </c>
      <c r="K143">
        <v>1.4</v>
      </c>
      <c r="L143">
        <v>227.5</v>
      </c>
      <c r="M143" t="s">
        <v>24</v>
      </c>
      <c r="N143">
        <v>68.709999999999994</v>
      </c>
      <c r="O143">
        <v>34.35</v>
      </c>
      <c r="P143">
        <v>6</v>
      </c>
    </row>
    <row r="144" spans="1:16" x14ac:dyDescent="0.25">
      <c r="A144" t="s">
        <v>133</v>
      </c>
      <c r="B144" t="s">
        <v>54</v>
      </c>
      <c r="C144" t="s">
        <v>55</v>
      </c>
      <c r="D144">
        <v>2016</v>
      </c>
      <c r="E144" s="5">
        <f t="shared" si="2"/>
        <v>42370</v>
      </c>
      <c r="F144" t="s">
        <v>35</v>
      </c>
      <c r="G144" t="s">
        <v>27</v>
      </c>
      <c r="H144" t="s">
        <v>56</v>
      </c>
      <c r="I144" t="s">
        <v>51</v>
      </c>
      <c r="J144">
        <v>89</v>
      </c>
      <c r="K144">
        <v>5.44</v>
      </c>
      <c r="L144">
        <v>242.9</v>
      </c>
      <c r="M144" t="s">
        <v>24</v>
      </c>
      <c r="N144">
        <v>108.52</v>
      </c>
      <c r="O144">
        <v>54.26</v>
      </c>
      <c r="P144">
        <v>5</v>
      </c>
    </row>
    <row r="145" spans="1:16" x14ac:dyDescent="0.25">
      <c r="A145" t="s">
        <v>133</v>
      </c>
      <c r="B145" t="s">
        <v>54</v>
      </c>
      <c r="C145" t="s">
        <v>55</v>
      </c>
      <c r="D145">
        <v>2016</v>
      </c>
      <c r="E145" s="5">
        <f t="shared" si="2"/>
        <v>42370</v>
      </c>
      <c r="F145" t="s">
        <v>35</v>
      </c>
      <c r="G145" t="s">
        <v>37</v>
      </c>
      <c r="H145" t="s">
        <v>56</v>
      </c>
      <c r="I145" t="s">
        <v>51</v>
      </c>
      <c r="J145">
        <v>90</v>
      </c>
      <c r="K145">
        <v>8.26</v>
      </c>
      <c r="L145">
        <v>120.98</v>
      </c>
      <c r="M145" t="s">
        <v>24</v>
      </c>
      <c r="N145">
        <v>162.27000000000001</v>
      </c>
      <c r="O145">
        <v>81.14</v>
      </c>
      <c r="P145">
        <v>10</v>
      </c>
    </row>
    <row r="146" spans="1:16" x14ac:dyDescent="0.25">
      <c r="A146" t="s">
        <v>133</v>
      </c>
      <c r="B146" t="s">
        <v>54</v>
      </c>
      <c r="C146" t="s">
        <v>55</v>
      </c>
      <c r="D146">
        <v>2016</v>
      </c>
      <c r="E146" s="5">
        <f t="shared" si="2"/>
        <v>42370</v>
      </c>
      <c r="F146" t="s">
        <v>35</v>
      </c>
      <c r="G146" t="s">
        <v>28</v>
      </c>
      <c r="H146" t="s">
        <v>56</v>
      </c>
      <c r="I146" t="s">
        <v>51</v>
      </c>
      <c r="J146">
        <v>82</v>
      </c>
      <c r="K146">
        <v>9.6300000000000008</v>
      </c>
      <c r="L146">
        <v>36.049999999999997</v>
      </c>
      <c r="M146" t="s">
        <v>24</v>
      </c>
      <c r="N146">
        <v>193.47</v>
      </c>
      <c r="O146">
        <v>96.73</v>
      </c>
      <c r="P146">
        <v>12</v>
      </c>
    </row>
    <row r="147" spans="1:16" x14ac:dyDescent="0.25">
      <c r="A147" t="s">
        <v>134</v>
      </c>
      <c r="B147" t="s">
        <v>135</v>
      </c>
      <c r="C147" t="s">
        <v>110</v>
      </c>
      <c r="D147">
        <v>2007</v>
      </c>
      <c r="E147" s="5">
        <f t="shared" si="2"/>
        <v>39083</v>
      </c>
      <c r="F147" t="s">
        <v>130</v>
      </c>
      <c r="G147" t="s">
        <v>28</v>
      </c>
      <c r="H147" t="s">
        <v>136</v>
      </c>
      <c r="I147" t="s">
        <v>21</v>
      </c>
      <c r="J147">
        <v>81</v>
      </c>
      <c r="K147">
        <v>0.99</v>
      </c>
      <c r="L147">
        <v>99.25</v>
      </c>
      <c r="M147" t="s">
        <v>24</v>
      </c>
      <c r="N147">
        <v>56.57</v>
      </c>
      <c r="O147">
        <v>28.29</v>
      </c>
      <c r="P147">
        <v>11</v>
      </c>
    </row>
    <row r="148" spans="1:16" x14ac:dyDescent="0.25">
      <c r="A148" t="s">
        <v>137</v>
      </c>
      <c r="B148" t="s">
        <v>138</v>
      </c>
      <c r="C148" t="s">
        <v>125</v>
      </c>
      <c r="D148">
        <v>2019</v>
      </c>
      <c r="E148" s="5">
        <f t="shared" si="2"/>
        <v>43466</v>
      </c>
      <c r="F148" t="s">
        <v>139</v>
      </c>
      <c r="G148" t="s">
        <v>23</v>
      </c>
      <c r="H148" t="s">
        <v>140</v>
      </c>
      <c r="I148" t="s">
        <v>21</v>
      </c>
      <c r="J148">
        <v>93</v>
      </c>
      <c r="K148">
        <v>6.76</v>
      </c>
      <c r="L148">
        <v>146.56</v>
      </c>
      <c r="M148" t="s">
        <v>24</v>
      </c>
      <c r="N148">
        <v>165.37</v>
      </c>
      <c r="O148">
        <v>82.69</v>
      </c>
      <c r="P148">
        <v>3</v>
      </c>
    </row>
    <row r="149" spans="1:16" x14ac:dyDescent="0.25">
      <c r="A149" t="s">
        <v>137</v>
      </c>
      <c r="B149" t="s">
        <v>138</v>
      </c>
      <c r="C149" t="s">
        <v>125</v>
      </c>
      <c r="D149">
        <v>2019</v>
      </c>
      <c r="E149" s="5">
        <f t="shared" si="2"/>
        <v>43466</v>
      </c>
      <c r="F149" t="s">
        <v>139</v>
      </c>
      <c r="G149" t="s">
        <v>25</v>
      </c>
      <c r="H149" t="s">
        <v>140</v>
      </c>
      <c r="I149" t="s">
        <v>21</v>
      </c>
      <c r="J149">
        <v>61</v>
      </c>
      <c r="K149">
        <v>6.23</v>
      </c>
      <c r="L149">
        <v>235.85</v>
      </c>
      <c r="M149" t="s">
        <v>22</v>
      </c>
      <c r="N149">
        <v>68.959999999999994</v>
      </c>
      <c r="O149">
        <v>40.44</v>
      </c>
      <c r="P149">
        <v>20</v>
      </c>
    </row>
    <row r="150" spans="1:16" x14ac:dyDescent="0.25">
      <c r="A150" t="s">
        <v>137</v>
      </c>
      <c r="B150" t="s">
        <v>138</v>
      </c>
      <c r="C150" t="s">
        <v>125</v>
      </c>
      <c r="D150">
        <v>2019</v>
      </c>
      <c r="E150" s="5">
        <f t="shared" si="2"/>
        <v>43466</v>
      </c>
      <c r="F150" t="s">
        <v>139</v>
      </c>
      <c r="G150" t="s">
        <v>27</v>
      </c>
      <c r="H150" t="s">
        <v>140</v>
      </c>
      <c r="I150" t="s">
        <v>21</v>
      </c>
      <c r="J150">
        <v>78</v>
      </c>
      <c r="K150">
        <v>9.1</v>
      </c>
      <c r="L150">
        <v>76.25</v>
      </c>
      <c r="M150" t="s">
        <v>22</v>
      </c>
      <c r="N150">
        <v>84.62</v>
      </c>
      <c r="O150">
        <v>42.31</v>
      </c>
      <c r="P150">
        <v>1</v>
      </c>
    </row>
    <row r="151" spans="1:16" x14ac:dyDescent="0.25">
      <c r="A151" t="s">
        <v>137</v>
      </c>
      <c r="B151" t="s">
        <v>138</v>
      </c>
      <c r="C151" t="s">
        <v>125</v>
      </c>
      <c r="D151">
        <v>2019</v>
      </c>
      <c r="E151" s="5">
        <f t="shared" si="2"/>
        <v>43466</v>
      </c>
      <c r="F151" t="s">
        <v>139</v>
      </c>
      <c r="G151" t="s">
        <v>39</v>
      </c>
      <c r="H151" t="s">
        <v>140</v>
      </c>
      <c r="I151" t="s">
        <v>21</v>
      </c>
      <c r="J151">
        <v>69</v>
      </c>
      <c r="K151">
        <v>1.06</v>
      </c>
      <c r="L151">
        <v>221.93</v>
      </c>
      <c r="M151" t="s">
        <v>22</v>
      </c>
      <c r="N151">
        <v>31.45</v>
      </c>
      <c r="O151">
        <v>15.72</v>
      </c>
      <c r="P151">
        <v>17</v>
      </c>
    </row>
    <row r="152" spans="1:16" x14ac:dyDescent="0.25">
      <c r="A152" t="s">
        <v>137</v>
      </c>
      <c r="B152" t="s">
        <v>138</v>
      </c>
      <c r="C152" t="s">
        <v>125</v>
      </c>
      <c r="D152">
        <v>2019</v>
      </c>
      <c r="E152" s="5">
        <f t="shared" si="2"/>
        <v>43466</v>
      </c>
      <c r="F152" t="s">
        <v>139</v>
      </c>
      <c r="G152" t="s">
        <v>28</v>
      </c>
      <c r="H152" t="s">
        <v>140</v>
      </c>
      <c r="I152" t="s">
        <v>21</v>
      </c>
      <c r="J152">
        <v>87</v>
      </c>
      <c r="K152">
        <v>1.63</v>
      </c>
      <c r="L152">
        <v>104.31</v>
      </c>
      <c r="M152" t="s">
        <v>24</v>
      </c>
      <c r="N152">
        <v>24.31</v>
      </c>
      <c r="O152">
        <v>12.15</v>
      </c>
      <c r="P152">
        <v>13</v>
      </c>
    </row>
    <row r="153" spans="1:16" x14ac:dyDescent="0.25">
      <c r="A153" t="s">
        <v>141</v>
      </c>
      <c r="B153" t="s">
        <v>142</v>
      </c>
      <c r="C153" t="s">
        <v>143</v>
      </c>
      <c r="D153">
        <v>2018</v>
      </c>
      <c r="E153" s="5">
        <f t="shared" si="2"/>
        <v>43101</v>
      </c>
      <c r="F153" t="s">
        <v>130</v>
      </c>
      <c r="G153" t="s">
        <v>27</v>
      </c>
      <c r="H153" t="s">
        <v>76</v>
      </c>
      <c r="I153" t="s">
        <v>21</v>
      </c>
      <c r="J153">
        <v>79</v>
      </c>
      <c r="K153">
        <v>2.25</v>
      </c>
      <c r="L153">
        <v>111.73</v>
      </c>
      <c r="M153" t="s">
        <v>24</v>
      </c>
      <c r="N153">
        <v>51.04</v>
      </c>
      <c r="O153">
        <v>25.52</v>
      </c>
      <c r="P153">
        <v>11</v>
      </c>
    </row>
    <row r="154" spans="1:16" x14ac:dyDescent="0.25">
      <c r="A154" t="s">
        <v>141</v>
      </c>
      <c r="B154" t="s">
        <v>142</v>
      </c>
      <c r="C154" t="s">
        <v>143</v>
      </c>
      <c r="D154">
        <v>2018</v>
      </c>
      <c r="E154" s="5">
        <f t="shared" si="2"/>
        <v>43101</v>
      </c>
      <c r="F154" t="s">
        <v>130</v>
      </c>
      <c r="G154" t="s">
        <v>28</v>
      </c>
      <c r="H154" t="s">
        <v>76</v>
      </c>
      <c r="I154" t="s">
        <v>21</v>
      </c>
      <c r="J154">
        <v>95</v>
      </c>
      <c r="K154">
        <v>9.7799999999999994</v>
      </c>
      <c r="L154">
        <v>90.31</v>
      </c>
      <c r="M154" t="s">
        <v>24</v>
      </c>
      <c r="N154">
        <v>82.64</v>
      </c>
      <c r="O154">
        <v>41.32</v>
      </c>
      <c r="P154">
        <v>3</v>
      </c>
    </row>
    <row r="155" spans="1:16" x14ac:dyDescent="0.25">
      <c r="A155" t="s">
        <v>144</v>
      </c>
      <c r="B155" t="s">
        <v>145</v>
      </c>
      <c r="C155" t="s">
        <v>145</v>
      </c>
      <c r="D155">
        <v>2018</v>
      </c>
      <c r="E155" s="5">
        <f t="shared" si="2"/>
        <v>43101</v>
      </c>
      <c r="F155" t="s">
        <v>35</v>
      </c>
      <c r="G155" t="s">
        <v>23</v>
      </c>
      <c r="H155" t="s">
        <v>146</v>
      </c>
      <c r="I155" t="s">
        <v>51</v>
      </c>
      <c r="J155">
        <v>65</v>
      </c>
      <c r="K155">
        <v>6.66</v>
      </c>
      <c r="L155">
        <v>160.78</v>
      </c>
      <c r="M155" t="s">
        <v>24</v>
      </c>
      <c r="N155">
        <v>121.44</v>
      </c>
      <c r="O155">
        <v>60.72</v>
      </c>
      <c r="P155">
        <v>10</v>
      </c>
    </row>
    <row r="156" spans="1:16" x14ac:dyDescent="0.25">
      <c r="A156" t="s">
        <v>144</v>
      </c>
      <c r="B156" t="s">
        <v>145</v>
      </c>
      <c r="C156" t="s">
        <v>145</v>
      </c>
      <c r="D156">
        <v>2018</v>
      </c>
      <c r="E156" s="5">
        <f t="shared" si="2"/>
        <v>43101</v>
      </c>
      <c r="F156" t="s">
        <v>35</v>
      </c>
      <c r="G156" t="s">
        <v>27</v>
      </c>
      <c r="H156" t="s">
        <v>146</v>
      </c>
      <c r="I156" t="s">
        <v>51</v>
      </c>
      <c r="J156">
        <v>67</v>
      </c>
      <c r="K156">
        <v>7.89</v>
      </c>
      <c r="L156">
        <v>52.1</v>
      </c>
      <c r="M156" t="s">
        <v>24</v>
      </c>
      <c r="N156">
        <v>166.81</v>
      </c>
      <c r="O156">
        <v>83.41</v>
      </c>
      <c r="P156">
        <v>18</v>
      </c>
    </row>
    <row r="157" spans="1:16" x14ac:dyDescent="0.25">
      <c r="A157" t="s">
        <v>144</v>
      </c>
      <c r="B157" t="s">
        <v>145</v>
      </c>
      <c r="C157" t="s">
        <v>145</v>
      </c>
      <c r="D157">
        <v>2018</v>
      </c>
      <c r="E157" s="5">
        <f t="shared" si="2"/>
        <v>43101</v>
      </c>
      <c r="F157" t="s">
        <v>35</v>
      </c>
      <c r="G157" t="s">
        <v>28</v>
      </c>
      <c r="H157" t="s">
        <v>146</v>
      </c>
      <c r="I157" t="s">
        <v>51</v>
      </c>
      <c r="J157">
        <v>90</v>
      </c>
      <c r="K157">
        <v>8.7100000000000009</v>
      </c>
      <c r="L157">
        <v>82.81</v>
      </c>
      <c r="M157" t="s">
        <v>24</v>
      </c>
      <c r="N157">
        <v>33.770000000000003</v>
      </c>
      <c r="O157">
        <v>79.3</v>
      </c>
      <c r="P157">
        <v>0</v>
      </c>
    </row>
    <row r="158" spans="1:16" x14ac:dyDescent="0.25">
      <c r="A158" t="s">
        <v>147</v>
      </c>
      <c r="B158" t="s">
        <v>145</v>
      </c>
      <c r="C158" t="s">
        <v>145</v>
      </c>
      <c r="D158">
        <v>2012</v>
      </c>
      <c r="E158" s="5">
        <f t="shared" si="2"/>
        <v>40909</v>
      </c>
      <c r="F158" t="s">
        <v>35</v>
      </c>
      <c r="G158" t="s">
        <v>19</v>
      </c>
      <c r="H158" t="s">
        <v>76</v>
      </c>
      <c r="I158" t="s">
        <v>21</v>
      </c>
      <c r="J158">
        <v>97</v>
      </c>
      <c r="K158">
        <v>9.84</v>
      </c>
      <c r="L158">
        <v>246.89</v>
      </c>
      <c r="M158" t="s">
        <v>24</v>
      </c>
      <c r="N158">
        <v>110.34</v>
      </c>
      <c r="O158">
        <v>80.56</v>
      </c>
      <c r="P158">
        <v>3</v>
      </c>
    </row>
    <row r="159" spans="1:16" x14ac:dyDescent="0.25">
      <c r="A159" t="s">
        <v>147</v>
      </c>
      <c r="B159" t="s">
        <v>145</v>
      </c>
      <c r="C159" t="s">
        <v>145</v>
      </c>
      <c r="D159">
        <v>2012</v>
      </c>
      <c r="E159" s="5">
        <f t="shared" si="2"/>
        <v>40909</v>
      </c>
      <c r="F159" t="s">
        <v>35</v>
      </c>
      <c r="G159" t="s">
        <v>26</v>
      </c>
      <c r="H159" t="s">
        <v>76</v>
      </c>
      <c r="I159" t="s">
        <v>21</v>
      </c>
      <c r="J159">
        <v>87</v>
      </c>
      <c r="K159">
        <v>0.36</v>
      </c>
      <c r="L159">
        <v>4.7</v>
      </c>
      <c r="M159" t="s">
        <v>24</v>
      </c>
      <c r="N159">
        <v>159.05000000000001</v>
      </c>
      <c r="O159">
        <v>79.53</v>
      </c>
      <c r="P159">
        <v>10</v>
      </c>
    </row>
    <row r="160" spans="1:16" x14ac:dyDescent="0.25">
      <c r="A160" t="s">
        <v>147</v>
      </c>
      <c r="B160" t="s">
        <v>145</v>
      </c>
      <c r="C160" t="s">
        <v>145</v>
      </c>
      <c r="D160">
        <v>2012</v>
      </c>
      <c r="E160" s="5">
        <f t="shared" si="2"/>
        <v>40909</v>
      </c>
      <c r="F160" t="s">
        <v>35</v>
      </c>
      <c r="G160" t="s">
        <v>28</v>
      </c>
      <c r="H160" t="s">
        <v>76</v>
      </c>
      <c r="I160" t="s">
        <v>21</v>
      </c>
      <c r="J160">
        <v>72</v>
      </c>
      <c r="K160">
        <v>2.73</v>
      </c>
      <c r="L160">
        <v>32.56</v>
      </c>
      <c r="M160" t="s">
        <v>24</v>
      </c>
      <c r="N160">
        <v>87.09</v>
      </c>
      <c r="O160">
        <v>43.55</v>
      </c>
      <c r="P160">
        <v>2</v>
      </c>
    </row>
    <row r="161" spans="1:16" x14ac:dyDescent="0.25">
      <c r="A161" t="s">
        <v>148</v>
      </c>
      <c r="B161" t="s">
        <v>145</v>
      </c>
      <c r="C161" t="s">
        <v>145</v>
      </c>
      <c r="D161">
        <v>2024</v>
      </c>
      <c r="E161" s="5">
        <f t="shared" si="2"/>
        <v>45292</v>
      </c>
      <c r="F161" t="s">
        <v>35</v>
      </c>
      <c r="G161" t="s">
        <v>25</v>
      </c>
      <c r="H161" t="s">
        <v>149</v>
      </c>
      <c r="I161" t="s">
        <v>21</v>
      </c>
      <c r="J161">
        <v>74</v>
      </c>
      <c r="K161">
        <v>7.8</v>
      </c>
      <c r="L161">
        <v>128.80000000000001</v>
      </c>
      <c r="M161" t="s">
        <v>24</v>
      </c>
      <c r="N161">
        <v>26.27</v>
      </c>
      <c r="O161">
        <v>43.17</v>
      </c>
      <c r="P161">
        <v>19</v>
      </c>
    </row>
    <row r="162" spans="1:16" x14ac:dyDescent="0.25">
      <c r="A162" t="s">
        <v>148</v>
      </c>
      <c r="B162" t="s">
        <v>145</v>
      </c>
      <c r="C162" t="s">
        <v>145</v>
      </c>
      <c r="D162">
        <v>2024</v>
      </c>
      <c r="E162" s="5">
        <f t="shared" si="2"/>
        <v>45292</v>
      </c>
      <c r="F162" t="s">
        <v>35</v>
      </c>
      <c r="G162" t="s">
        <v>39</v>
      </c>
      <c r="H162" t="s">
        <v>149</v>
      </c>
      <c r="I162" t="s">
        <v>21</v>
      </c>
      <c r="J162">
        <v>83</v>
      </c>
      <c r="K162">
        <v>7.85</v>
      </c>
      <c r="L162">
        <v>216.88</v>
      </c>
      <c r="M162" t="s">
        <v>24</v>
      </c>
      <c r="N162">
        <v>106.68</v>
      </c>
      <c r="O162">
        <v>53.34</v>
      </c>
      <c r="P162">
        <v>0</v>
      </c>
    </row>
    <row r="163" spans="1:16" x14ac:dyDescent="0.25">
      <c r="A163" t="s">
        <v>148</v>
      </c>
      <c r="B163" t="s">
        <v>145</v>
      </c>
      <c r="C163" t="s">
        <v>145</v>
      </c>
      <c r="D163">
        <v>2024</v>
      </c>
      <c r="E163" s="5">
        <f t="shared" si="2"/>
        <v>45292</v>
      </c>
      <c r="F163" t="s">
        <v>35</v>
      </c>
      <c r="G163" t="s">
        <v>28</v>
      </c>
      <c r="H163" t="s">
        <v>149</v>
      </c>
      <c r="I163" t="s">
        <v>21</v>
      </c>
      <c r="J163">
        <v>76</v>
      </c>
      <c r="K163">
        <v>8.49</v>
      </c>
      <c r="L163">
        <v>107.14</v>
      </c>
      <c r="M163" t="s">
        <v>24</v>
      </c>
      <c r="N163">
        <v>26.05</v>
      </c>
      <c r="O163">
        <v>62.92</v>
      </c>
      <c r="P163">
        <v>14</v>
      </c>
    </row>
    <row r="164" spans="1:16" x14ac:dyDescent="0.25">
      <c r="A164" t="s">
        <v>150</v>
      </c>
      <c r="B164" t="s">
        <v>151</v>
      </c>
      <c r="C164" t="s">
        <v>151</v>
      </c>
      <c r="D164">
        <v>2014</v>
      </c>
      <c r="E164" s="5">
        <f t="shared" si="2"/>
        <v>41640</v>
      </c>
      <c r="F164" t="s">
        <v>152</v>
      </c>
      <c r="G164" t="s">
        <v>28</v>
      </c>
      <c r="H164" t="s">
        <v>153</v>
      </c>
      <c r="I164" t="s">
        <v>51</v>
      </c>
      <c r="J164">
        <v>97</v>
      </c>
      <c r="K164">
        <v>0.9</v>
      </c>
      <c r="L164">
        <v>152.47</v>
      </c>
      <c r="M164" t="s">
        <v>24</v>
      </c>
      <c r="N164">
        <v>17.809999999999999</v>
      </c>
      <c r="O164">
        <v>8.9</v>
      </c>
      <c r="P164">
        <v>20</v>
      </c>
    </row>
    <row r="165" spans="1:16" x14ac:dyDescent="0.25">
      <c r="A165" t="s">
        <v>150</v>
      </c>
      <c r="B165" t="s">
        <v>151</v>
      </c>
      <c r="C165" t="s">
        <v>151</v>
      </c>
      <c r="D165">
        <v>2014</v>
      </c>
      <c r="E165" s="5">
        <f t="shared" si="2"/>
        <v>41640</v>
      </c>
      <c r="F165" t="s">
        <v>152</v>
      </c>
      <c r="G165" t="s">
        <v>23</v>
      </c>
      <c r="H165" t="s">
        <v>153</v>
      </c>
      <c r="I165" t="s">
        <v>51</v>
      </c>
      <c r="J165">
        <v>86</v>
      </c>
      <c r="K165">
        <v>7.15</v>
      </c>
      <c r="L165">
        <v>95.85</v>
      </c>
      <c r="M165" t="s">
        <v>24</v>
      </c>
      <c r="N165">
        <v>121.49</v>
      </c>
      <c r="O165">
        <v>60.74</v>
      </c>
      <c r="P165">
        <v>16</v>
      </c>
    </row>
    <row r="166" spans="1:16" x14ac:dyDescent="0.25">
      <c r="A166" t="s">
        <v>150</v>
      </c>
      <c r="B166" t="s">
        <v>151</v>
      </c>
      <c r="C166" t="s">
        <v>151</v>
      </c>
      <c r="D166">
        <v>2014</v>
      </c>
      <c r="E166" s="5">
        <f t="shared" si="2"/>
        <v>41640</v>
      </c>
      <c r="F166" t="s">
        <v>152</v>
      </c>
      <c r="G166" t="s">
        <v>27</v>
      </c>
      <c r="H166" t="s">
        <v>153</v>
      </c>
      <c r="I166" t="s">
        <v>51</v>
      </c>
      <c r="J166">
        <v>76</v>
      </c>
      <c r="K166">
        <v>1.08</v>
      </c>
      <c r="L166">
        <v>175.74</v>
      </c>
      <c r="M166" t="s">
        <v>24</v>
      </c>
      <c r="N166">
        <v>171.29</v>
      </c>
      <c r="O166">
        <v>85.64</v>
      </c>
      <c r="P166">
        <v>17</v>
      </c>
    </row>
    <row r="167" spans="1:16" x14ac:dyDescent="0.25">
      <c r="A167" t="s">
        <v>87</v>
      </c>
      <c r="B167" t="s">
        <v>88</v>
      </c>
      <c r="C167" t="s">
        <v>88</v>
      </c>
      <c r="D167">
        <v>2016</v>
      </c>
      <c r="E167" s="5">
        <f t="shared" si="2"/>
        <v>42370</v>
      </c>
      <c r="F167" t="s">
        <v>89</v>
      </c>
      <c r="G167" t="s">
        <v>23</v>
      </c>
      <c r="H167" t="s">
        <v>84</v>
      </c>
      <c r="I167" t="s">
        <v>85</v>
      </c>
      <c r="J167">
        <v>74</v>
      </c>
      <c r="K167">
        <v>4.57</v>
      </c>
      <c r="L167">
        <v>57.89</v>
      </c>
      <c r="M167" t="s">
        <v>24</v>
      </c>
      <c r="N167">
        <v>71.09</v>
      </c>
      <c r="O167">
        <v>35.549999999999997</v>
      </c>
      <c r="P167">
        <v>13</v>
      </c>
    </row>
    <row r="168" spans="1:16" x14ac:dyDescent="0.25">
      <c r="A168" t="s">
        <v>87</v>
      </c>
      <c r="B168" t="s">
        <v>88</v>
      </c>
      <c r="C168" t="s">
        <v>88</v>
      </c>
      <c r="D168">
        <v>2016</v>
      </c>
      <c r="E168" s="5">
        <f t="shared" si="2"/>
        <v>42370</v>
      </c>
      <c r="F168" t="s">
        <v>89</v>
      </c>
      <c r="G168" t="s">
        <v>25</v>
      </c>
      <c r="H168" t="s">
        <v>84</v>
      </c>
      <c r="I168" t="s">
        <v>85</v>
      </c>
      <c r="J168">
        <v>71</v>
      </c>
      <c r="K168">
        <v>4.32</v>
      </c>
      <c r="L168">
        <v>166.61</v>
      </c>
      <c r="M168" t="s">
        <v>24</v>
      </c>
      <c r="N168">
        <v>77.989999999999995</v>
      </c>
      <c r="O168">
        <v>38.99</v>
      </c>
      <c r="P168">
        <v>15</v>
      </c>
    </row>
    <row r="169" spans="1:16" x14ac:dyDescent="0.25">
      <c r="A169" t="s">
        <v>87</v>
      </c>
      <c r="B169" t="s">
        <v>88</v>
      </c>
      <c r="C169" t="s">
        <v>88</v>
      </c>
      <c r="D169">
        <v>2016</v>
      </c>
      <c r="E169" s="5">
        <f t="shared" si="2"/>
        <v>42370</v>
      </c>
      <c r="F169" t="s">
        <v>89</v>
      </c>
      <c r="G169" t="s">
        <v>27</v>
      </c>
      <c r="H169" t="s">
        <v>84</v>
      </c>
      <c r="I169" t="s">
        <v>85</v>
      </c>
      <c r="J169">
        <v>70</v>
      </c>
      <c r="K169">
        <v>8.33</v>
      </c>
      <c r="L169">
        <v>24.21</v>
      </c>
      <c r="M169" t="s">
        <v>24</v>
      </c>
      <c r="N169">
        <v>23.83</v>
      </c>
      <c r="O169">
        <v>63.72</v>
      </c>
      <c r="P169">
        <v>4</v>
      </c>
    </row>
    <row r="170" spans="1:16" x14ac:dyDescent="0.25">
      <c r="A170" t="s">
        <v>87</v>
      </c>
      <c r="B170" t="s">
        <v>88</v>
      </c>
      <c r="C170" t="s">
        <v>88</v>
      </c>
      <c r="D170">
        <v>2016</v>
      </c>
      <c r="E170" s="5">
        <f t="shared" si="2"/>
        <v>42370</v>
      </c>
      <c r="F170" t="s">
        <v>89</v>
      </c>
      <c r="G170" t="s">
        <v>28</v>
      </c>
      <c r="H170" t="s">
        <v>84</v>
      </c>
      <c r="I170" t="s">
        <v>85</v>
      </c>
      <c r="J170">
        <v>71</v>
      </c>
      <c r="K170">
        <v>5.91</v>
      </c>
      <c r="L170">
        <v>140.84</v>
      </c>
      <c r="M170" t="s">
        <v>24</v>
      </c>
      <c r="N170">
        <v>69.28</v>
      </c>
      <c r="O170">
        <v>34.64</v>
      </c>
      <c r="P170">
        <v>11</v>
      </c>
    </row>
    <row r="171" spans="1:16" x14ac:dyDescent="0.25">
      <c r="A171" t="s">
        <v>154</v>
      </c>
      <c r="B171" t="s">
        <v>155</v>
      </c>
      <c r="C171" t="s">
        <v>156</v>
      </c>
      <c r="D171">
        <v>2022</v>
      </c>
      <c r="E171" s="5">
        <f t="shared" si="2"/>
        <v>44562</v>
      </c>
      <c r="F171" t="s">
        <v>157</v>
      </c>
      <c r="G171" t="s">
        <v>23</v>
      </c>
      <c r="H171" t="s">
        <v>158</v>
      </c>
      <c r="I171" t="s">
        <v>21</v>
      </c>
      <c r="J171">
        <v>94</v>
      </c>
      <c r="K171">
        <v>152.55000000000001</v>
      </c>
      <c r="L171">
        <v>217.15</v>
      </c>
      <c r="M171" t="s">
        <v>22</v>
      </c>
      <c r="N171">
        <v>145.61000000000001</v>
      </c>
      <c r="O171">
        <v>1482.11</v>
      </c>
      <c r="P171">
        <v>19</v>
      </c>
    </row>
    <row r="172" spans="1:16" x14ac:dyDescent="0.25">
      <c r="A172" t="s">
        <v>154</v>
      </c>
      <c r="B172" t="s">
        <v>155</v>
      </c>
      <c r="C172" t="s">
        <v>156</v>
      </c>
      <c r="D172">
        <v>2022</v>
      </c>
      <c r="E172" s="5">
        <f t="shared" si="2"/>
        <v>44562</v>
      </c>
      <c r="F172" t="s">
        <v>157</v>
      </c>
      <c r="G172" t="s">
        <v>25</v>
      </c>
      <c r="H172" t="s">
        <v>158</v>
      </c>
      <c r="I172" t="s">
        <v>21</v>
      </c>
      <c r="J172">
        <v>86</v>
      </c>
      <c r="K172">
        <v>106.41</v>
      </c>
      <c r="L172">
        <v>39.53</v>
      </c>
      <c r="M172" t="s">
        <v>22</v>
      </c>
      <c r="N172">
        <v>99.03</v>
      </c>
      <c r="O172">
        <v>917.84</v>
      </c>
      <c r="P172">
        <v>11</v>
      </c>
    </row>
    <row r="173" spans="1:16" x14ac:dyDescent="0.25">
      <c r="A173" t="s">
        <v>154</v>
      </c>
      <c r="B173" t="s">
        <v>155</v>
      </c>
      <c r="C173" t="s">
        <v>156</v>
      </c>
      <c r="D173">
        <v>2022</v>
      </c>
      <c r="E173" s="5">
        <f t="shared" si="2"/>
        <v>44562</v>
      </c>
      <c r="F173" t="s">
        <v>157</v>
      </c>
      <c r="G173" t="s">
        <v>27</v>
      </c>
      <c r="H173" t="s">
        <v>158</v>
      </c>
      <c r="I173" t="s">
        <v>21</v>
      </c>
      <c r="J173">
        <v>93</v>
      </c>
      <c r="K173">
        <v>62.93</v>
      </c>
      <c r="L173">
        <v>57.31</v>
      </c>
      <c r="M173" t="s">
        <v>22</v>
      </c>
      <c r="N173">
        <v>88.68</v>
      </c>
      <c r="O173">
        <v>380.64</v>
      </c>
      <c r="P173">
        <v>19</v>
      </c>
    </row>
    <row r="174" spans="1:16" x14ac:dyDescent="0.25">
      <c r="A174" t="s">
        <v>154</v>
      </c>
      <c r="B174" t="s">
        <v>155</v>
      </c>
      <c r="C174" t="s">
        <v>156</v>
      </c>
      <c r="D174">
        <v>2022</v>
      </c>
      <c r="E174" s="5">
        <f t="shared" si="2"/>
        <v>44562</v>
      </c>
      <c r="F174" t="s">
        <v>157</v>
      </c>
      <c r="G174" t="s">
        <v>39</v>
      </c>
      <c r="H174" t="s">
        <v>158</v>
      </c>
      <c r="I174" t="s">
        <v>21</v>
      </c>
      <c r="J174">
        <v>81</v>
      </c>
      <c r="K174">
        <v>14.99</v>
      </c>
      <c r="L174">
        <v>232.34</v>
      </c>
      <c r="M174" t="s">
        <v>22</v>
      </c>
      <c r="N174">
        <v>166.74</v>
      </c>
      <c r="O174">
        <v>83.37</v>
      </c>
      <c r="P174">
        <v>5</v>
      </c>
    </row>
    <row r="175" spans="1:16" x14ac:dyDescent="0.25">
      <c r="A175" t="s">
        <v>154</v>
      </c>
      <c r="B175" t="s">
        <v>155</v>
      </c>
      <c r="C175" t="s">
        <v>156</v>
      </c>
      <c r="D175">
        <v>2022</v>
      </c>
      <c r="E175" s="5">
        <f t="shared" si="2"/>
        <v>44562</v>
      </c>
      <c r="F175" t="s">
        <v>157</v>
      </c>
      <c r="G175" t="s">
        <v>28</v>
      </c>
      <c r="H175" t="s">
        <v>158</v>
      </c>
      <c r="I175" t="s">
        <v>21</v>
      </c>
      <c r="J175">
        <v>70</v>
      </c>
      <c r="K175">
        <v>185.09</v>
      </c>
      <c r="L175">
        <v>88.4</v>
      </c>
      <c r="M175" t="s">
        <v>24</v>
      </c>
      <c r="N175">
        <v>40.369999999999997</v>
      </c>
      <c r="O175">
        <v>423.72</v>
      </c>
      <c r="P175">
        <v>12</v>
      </c>
    </row>
    <row r="176" spans="1:16" x14ac:dyDescent="0.25">
      <c r="A176" t="s">
        <v>159</v>
      </c>
      <c r="B176" t="s">
        <v>155</v>
      </c>
      <c r="C176" t="s">
        <v>156</v>
      </c>
      <c r="D176">
        <v>2016</v>
      </c>
      <c r="E176" s="5">
        <f t="shared" si="2"/>
        <v>42370</v>
      </c>
      <c r="F176" t="s">
        <v>157</v>
      </c>
      <c r="G176" t="s">
        <v>23</v>
      </c>
      <c r="H176" t="s">
        <v>158</v>
      </c>
      <c r="I176" t="s">
        <v>21</v>
      </c>
      <c r="J176">
        <v>85</v>
      </c>
      <c r="K176">
        <v>9.7200000000000006</v>
      </c>
      <c r="L176">
        <v>23.85</v>
      </c>
      <c r="M176" t="s">
        <v>24</v>
      </c>
      <c r="N176">
        <v>108.44</v>
      </c>
      <c r="O176">
        <v>54.22</v>
      </c>
      <c r="P176">
        <v>14</v>
      </c>
    </row>
    <row r="177" spans="1:16" x14ac:dyDescent="0.25">
      <c r="A177" t="s">
        <v>159</v>
      </c>
      <c r="B177" t="s">
        <v>155</v>
      </c>
      <c r="C177" t="s">
        <v>156</v>
      </c>
      <c r="D177">
        <v>2016</v>
      </c>
      <c r="E177" s="5">
        <f t="shared" si="2"/>
        <v>42370</v>
      </c>
      <c r="F177" t="s">
        <v>157</v>
      </c>
      <c r="G177" t="s">
        <v>27</v>
      </c>
      <c r="H177" t="s">
        <v>158</v>
      </c>
      <c r="I177" t="s">
        <v>21</v>
      </c>
      <c r="J177">
        <v>71</v>
      </c>
      <c r="K177">
        <v>7.24</v>
      </c>
      <c r="L177">
        <v>194.43</v>
      </c>
      <c r="M177" t="s">
        <v>24</v>
      </c>
      <c r="N177">
        <v>115.68</v>
      </c>
      <c r="O177">
        <v>57.84</v>
      </c>
      <c r="P177">
        <v>1</v>
      </c>
    </row>
    <row r="178" spans="1:16" x14ac:dyDescent="0.25">
      <c r="A178" t="s">
        <v>159</v>
      </c>
      <c r="B178" t="s">
        <v>155</v>
      </c>
      <c r="C178" t="s">
        <v>156</v>
      </c>
      <c r="D178">
        <v>2016</v>
      </c>
      <c r="E178" s="5">
        <f t="shared" si="2"/>
        <v>42370</v>
      </c>
      <c r="F178" t="s">
        <v>157</v>
      </c>
      <c r="G178" t="s">
        <v>28</v>
      </c>
      <c r="H178" t="s">
        <v>158</v>
      </c>
      <c r="I178" t="s">
        <v>21</v>
      </c>
      <c r="J178">
        <v>86</v>
      </c>
      <c r="K178">
        <v>0.59</v>
      </c>
      <c r="L178">
        <v>21.31</v>
      </c>
      <c r="M178" t="s">
        <v>22</v>
      </c>
      <c r="N178">
        <v>91.41</v>
      </c>
      <c r="O178">
        <v>45.7</v>
      </c>
      <c r="P178">
        <v>19</v>
      </c>
    </row>
    <row r="179" spans="1:16" x14ac:dyDescent="0.25">
      <c r="A179" t="s">
        <v>160</v>
      </c>
      <c r="B179" t="s">
        <v>155</v>
      </c>
      <c r="C179" t="s">
        <v>161</v>
      </c>
      <c r="D179">
        <v>2019</v>
      </c>
      <c r="E179" s="5">
        <f t="shared" si="2"/>
        <v>43466</v>
      </c>
      <c r="F179" t="s">
        <v>18</v>
      </c>
      <c r="G179" t="s">
        <v>23</v>
      </c>
      <c r="H179" t="s">
        <v>158</v>
      </c>
      <c r="I179" t="s">
        <v>21</v>
      </c>
      <c r="J179">
        <v>73</v>
      </c>
      <c r="K179">
        <v>7.57</v>
      </c>
      <c r="L179">
        <v>29.34</v>
      </c>
      <c r="M179" t="s">
        <v>22</v>
      </c>
      <c r="N179">
        <v>88.83</v>
      </c>
      <c r="O179">
        <v>44.41</v>
      </c>
      <c r="P179">
        <v>18</v>
      </c>
    </row>
    <row r="180" spans="1:16" x14ac:dyDescent="0.25">
      <c r="A180" t="s">
        <v>160</v>
      </c>
      <c r="B180" t="s">
        <v>155</v>
      </c>
      <c r="C180" t="s">
        <v>161</v>
      </c>
      <c r="D180">
        <v>2019</v>
      </c>
      <c r="E180" s="5">
        <f t="shared" si="2"/>
        <v>43466</v>
      </c>
      <c r="F180" t="s">
        <v>18</v>
      </c>
      <c r="G180" t="s">
        <v>27</v>
      </c>
      <c r="H180" t="s">
        <v>158</v>
      </c>
      <c r="I180" t="s">
        <v>21</v>
      </c>
      <c r="J180">
        <v>72</v>
      </c>
      <c r="K180">
        <v>0.55000000000000004</v>
      </c>
      <c r="L180">
        <v>99.42</v>
      </c>
      <c r="M180" t="s">
        <v>22</v>
      </c>
      <c r="N180">
        <v>121.87</v>
      </c>
      <c r="O180">
        <v>60.94</v>
      </c>
      <c r="P180">
        <v>9</v>
      </c>
    </row>
    <row r="181" spans="1:16" x14ac:dyDescent="0.25">
      <c r="A181" t="s">
        <v>160</v>
      </c>
      <c r="B181" t="s">
        <v>155</v>
      </c>
      <c r="C181" t="s">
        <v>161</v>
      </c>
      <c r="D181">
        <v>2019</v>
      </c>
      <c r="E181" s="5">
        <f t="shared" si="2"/>
        <v>43466</v>
      </c>
      <c r="F181" t="s">
        <v>18</v>
      </c>
      <c r="G181" t="s">
        <v>28</v>
      </c>
      <c r="H181" t="s">
        <v>158</v>
      </c>
      <c r="I181" t="s">
        <v>21</v>
      </c>
      <c r="J181">
        <v>86</v>
      </c>
      <c r="K181">
        <v>2.63</v>
      </c>
      <c r="L181">
        <v>82.7</v>
      </c>
      <c r="M181" t="s">
        <v>22</v>
      </c>
      <c r="N181">
        <v>6.51</v>
      </c>
      <c r="O181">
        <v>20.309999999999999</v>
      </c>
      <c r="P181">
        <v>5</v>
      </c>
    </row>
    <row r="182" spans="1:16" x14ac:dyDescent="0.25">
      <c r="A182" t="s">
        <v>162</v>
      </c>
      <c r="B182" t="s">
        <v>163</v>
      </c>
      <c r="C182" t="s">
        <v>164</v>
      </c>
      <c r="D182">
        <v>2018</v>
      </c>
      <c r="E182" s="5">
        <f t="shared" si="2"/>
        <v>43101</v>
      </c>
      <c r="F182" t="s">
        <v>165</v>
      </c>
      <c r="G182" t="s">
        <v>27</v>
      </c>
      <c r="H182" t="s">
        <v>166</v>
      </c>
      <c r="I182" t="s">
        <v>167</v>
      </c>
      <c r="J182">
        <v>82</v>
      </c>
      <c r="K182">
        <v>2.38</v>
      </c>
      <c r="L182">
        <v>140.12</v>
      </c>
      <c r="M182" t="s">
        <v>24</v>
      </c>
      <c r="N182">
        <v>135.27000000000001</v>
      </c>
      <c r="O182">
        <v>67.64</v>
      </c>
      <c r="P182">
        <v>12</v>
      </c>
    </row>
    <row r="183" spans="1:16" x14ac:dyDescent="0.25">
      <c r="A183" t="s">
        <v>162</v>
      </c>
      <c r="B183" t="s">
        <v>163</v>
      </c>
      <c r="C183" t="s">
        <v>164</v>
      </c>
      <c r="D183">
        <v>2018</v>
      </c>
      <c r="E183" s="5">
        <f t="shared" si="2"/>
        <v>43101</v>
      </c>
      <c r="F183" t="s">
        <v>165</v>
      </c>
      <c r="G183" t="s">
        <v>28</v>
      </c>
      <c r="H183" t="s">
        <v>166</v>
      </c>
      <c r="I183" t="s">
        <v>167</v>
      </c>
      <c r="J183">
        <v>79</v>
      </c>
      <c r="K183">
        <v>0.28999999999999998</v>
      </c>
      <c r="L183">
        <v>230.37</v>
      </c>
      <c r="M183" t="s">
        <v>24</v>
      </c>
      <c r="N183">
        <v>173.11</v>
      </c>
      <c r="O183">
        <v>86.56</v>
      </c>
      <c r="P183">
        <v>18</v>
      </c>
    </row>
    <row r="184" spans="1:16" x14ac:dyDescent="0.25">
      <c r="A184" t="s">
        <v>168</v>
      </c>
      <c r="B184" t="s">
        <v>163</v>
      </c>
      <c r="C184" t="s">
        <v>164</v>
      </c>
      <c r="D184">
        <v>2021</v>
      </c>
      <c r="E184" s="5">
        <f t="shared" si="2"/>
        <v>44197</v>
      </c>
      <c r="F184" t="s">
        <v>165</v>
      </c>
      <c r="G184" t="s">
        <v>39</v>
      </c>
      <c r="H184" t="s">
        <v>166</v>
      </c>
      <c r="I184" t="s">
        <v>167</v>
      </c>
      <c r="J184">
        <v>91</v>
      </c>
      <c r="K184">
        <v>6.44</v>
      </c>
      <c r="L184">
        <v>73.09</v>
      </c>
      <c r="M184" t="s">
        <v>24</v>
      </c>
      <c r="N184">
        <v>83.98</v>
      </c>
      <c r="O184">
        <v>62.44</v>
      </c>
      <c r="P184">
        <v>5</v>
      </c>
    </row>
    <row r="185" spans="1:16" x14ac:dyDescent="0.25">
      <c r="A185" t="s">
        <v>168</v>
      </c>
      <c r="B185" t="s">
        <v>163</v>
      </c>
      <c r="C185" t="s">
        <v>164</v>
      </c>
      <c r="D185">
        <v>2021</v>
      </c>
      <c r="E185" s="5">
        <f t="shared" si="2"/>
        <v>44197</v>
      </c>
      <c r="F185" t="s">
        <v>165</v>
      </c>
      <c r="G185" t="s">
        <v>28</v>
      </c>
      <c r="H185" t="s">
        <v>166</v>
      </c>
      <c r="I185" t="s">
        <v>167</v>
      </c>
      <c r="J185">
        <v>80</v>
      </c>
      <c r="K185">
        <v>8.34</v>
      </c>
      <c r="L185">
        <v>230.02</v>
      </c>
      <c r="M185" t="s">
        <v>24</v>
      </c>
      <c r="N185">
        <v>22.19</v>
      </c>
      <c r="O185">
        <v>71.73</v>
      </c>
      <c r="P185">
        <v>7</v>
      </c>
    </row>
    <row r="186" spans="1:16" x14ac:dyDescent="0.25">
      <c r="A186" t="s">
        <v>169</v>
      </c>
      <c r="B186" t="s">
        <v>170</v>
      </c>
      <c r="C186" t="s">
        <v>171</v>
      </c>
      <c r="D186">
        <v>2018</v>
      </c>
      <c r="E186" s="5">
        <f t="shared" si="2"/>
        <v>43101</v>
      </c>
      <c r="F186" t="s">
        <v>165</v>
      </c>
      <c r="G186" t="s">
        <v>23</v>
      </c>
      <c r="H186" t="s">
        <v>172</v>
      </c>
      <c r="I186" t="s">
        <v>167</v>
      </c>
      <c r="J186">
        <v>83</v>
      </c>
      <c r="K186">
        <v>4.0599999999999996</v>
      </c>
      <c r="L186">
        <v>20.58</v>
      </c>
      <c r="M186" t="s">
        <v>24</v>
      </c>
      <c r="N186">
        <v>174.75</v>
      </c>
      <c r="O186">
        <v>87.38</v>
      </c>
      <c r="P186">
        <v>7</v>
      </c>
    </row>
    <row r="187" spans="1:16" x14ac:dyDescent="0.25">
      <c r="A187" t="s">
        <v>169</v>
      </c>
      <c r="B187" t="s">
        <v>170</v>
      </c>
      <c r="C187" t="s">
        <v>171</v>
      </c>
      <c r="D187">
        <v>2018</v>
      </c>
      <c r="E187" s="5">
        <f t="shared" si="2"/>
        <v>43101</v>
      </c>
      <c r="F187" t="s">
        <v>165</v>
      </c>
      <c r="G187" t="s">
        <v>27</v>
      </c>
      <c r="H187" t="s">
        <v>172</v>
      </c>
      <c r="I187" t="s">
        <v>167</v>
      </c>
      <c r="J187">
        <v>89</v>
      </c>
      <c r="K187">
        <v>1.76</v>
      </c>
      <c r="L187">
        <v>128.11000000000001</v>
      </c>
      <c r="M187" t="s">
        <v>24</v>
      </c>
      <c r="N187">
        <v>27.24</v>
      </c>
      <c r="O187">
        <v>13.62</v>
      </c>
      <c r="P187">
        <v>11</v>
      </c>
    </row>
    <row r="188" spans="1:16" x14ac:dyDescent="0.25">
      <c r="A188" t="s">
        <v>169</v>
      </c>
      <c r="B188" t="s">
        <v>170</v>
      </c>
      <c r="C188" t="s">
        <v>171</v>
      </c>
      <c r="D188">
        <v>2018</v>
      </c>
      <c r="E188" s="5">
        <f t="shared" si="2"/>
        <v>43101</v>
      </c>
      <c r="F188" t="s">
        <v>165</v>
      </c>
      <c r="G188" t="s">
        <v>28</v>
      </c>
      <c r="H188" t="s">
        <v>172</v>
      </c>
      <c r="I188" t="s">
        <v>167</v>
      </c>
      <c r="J188">
        <v>86</v>
      </c>
      <c r="K188">
        <v>9.59</v>
      </c>
      <c r="L188">
        <v>161.72</v>
      </c>
      <c r="M188" t="s">
        <v>24</v>
      </c>
      <c r="N188">
        <v>33.799999999999997</v>
      </c>
      <c r="O188">
        <v>18.46</v>
      </c>
      <c r="P188">
        <v>8</v>
      </c>
    </row>
    <row r="189" spans="1:16" x14ac:dyDescent="0.25">
      <c r="A189" t="s">
        <v>169</v>
      </c>
      <c r="B189" t="s">
        <v>170</v>
      </c>
      <c r="C189" t="s">
        <v>171</v>
      </c>
      <c r="D189">
        <v>2018</v>
      </c>
      <c r="E189" s="5">
        <f t="shared" si="2"/>
        <v>43101</v>
      </c>
      <c r="F189" t="s">
        <v>165</v>
      </c>
      <c r="G189" t="s">
        <v>37</v>
      </c>
      <c r="H189" t="s">
        <v>172</v>
      </c>
      <c r="I189" t="s">
        <v>167</v>
      </c>
      <c r="J189">
        <v>72</v>
      </c>
      <c r="K189">
        <v>6.06</v>
      </c>
      <c r="L189">
        <v>190.29</v>
      </c>
      <c r="M189" t="s">
        <v>24</v>
      </c>
      <c r="N189">
        <v>132.82</v>
      </c>
      <c r="O189">
        <v>66.41</v>
      </c>
      <c r="P189">
        <v>20</v>
      </c>
    </row>
    <row r="190" spans="1:16" x14ac:dyDescent="0.25">
      <c r="A190" t="s">
        <v>173</v>
      </c>
      <c r="B190" t="s">
        <v>174</v>
      </c>
      <c r="C190" t="s">
        <v>42</v>
      </c>
      <c r="D190">
        <v>2018</v>
      </c>
      <c r="E190" s="5">
        <f t="shared" si="2"/>
        <v>43101</v>
      </c>
      <c r="F190" t="s">
        <v>165</v>
      </c>
      <c r="G190" t="s">
        <v>23</v>
      </c>
      <c r="H190" t="s">
        <v>99</v>
      </c>
      <c r="I190" t="s">
        <v>167</v>
      </c>
      <c r="J190">
        <v>84</v>
      </c>
      <c r="K190">
        <v>7.57</v>
      </c>
      <c r="L190">
        <v>190.21</v>
      </c>
      <c r="M190" t="s">
        <v>24</v>
      </c>
      <c r="N190">
        <v>92.54</v>
      </c>
      <c r="O190">
        <v>70.53</v>
      </c>
      <c r="P190">
        <v>18</v>
      </c>
    </row>
    <row r="191" spans="1:16" x14ac:dyDescent="0.25">
      <c r="A191" t="s">
        <v>173</v>
      </c>
      <c r="B191" t="s">
        <v>174</v>
      </c>
      <c r="C191" t="s">
        <v>42</v>
      </c>
      <c r="D191">
        <v>2018</v>
      </c>
      <c r="E191" s="5">
        <f t="shared" si="2"/>
        <v>43101</v>
      </c>
      <c r="F191" t="s">
        <v>165</v>
      </c>
      <c r="G191" t="s">
        <v>27</v>
      </c>
      <c r="H191" t="s">
        <v>99</v>
      </c>
      <c r="I191" t="s">
        <v>167</v>
      </c>
      <c r="J191">
        <v>81</v>
      </c>
      <c r="K191">
        <v>9.8699999999999992</v>
      </c>
      <c r="L191">
        <v>81.48</v>
      </c>
      <c r="M191" t="s">
        <v>24</v>
      </c>
      <c r="N191">
        <v>194.34</v>
      </c>
      <c r="O191">
        <v>97.17</v>
      </c>
      <c r="P191">
        <v>14</v>
      </c>
    </row>
    <row r="192" spans="1:16" x14ac:dyDescent="0.25">
      <c r="A192" t="s">
        <v>173</v>
      </c>
      <c r="B192" t="s">
        <v>174</v>
      </c>
      <c r="C192" t="s">
        <v>42</v>
      </c>
      <c r="D192">
        <v>2018</v>
      </c>
      <c r="E192" s="5">
        <f t="shared" si="2"/>
        <v>43101</v>
      </c>
      <c r="F192" t="s">
        <v>165</v>
      </c>
      <c r="G192" t="s">
        <v>28</v>
      </c>
      <c r="H192" t="s">
        <v>99</v>
      </c>
      <c r="I192" t="s">
        <v>167</v>
      </c>
      <c r="J192">
        <v>76</v>
      </c>
      <c r="K192">
        <v>4.4800000000000004</v>
      </c>
      <c r="L192">
        <v>76.400000000000006</v>
      </c>
      <c r="M192" t="s">
        <v>24</v>
      </c>
      <c r="N192">
        <v>58.56</v>
      </c>
      <c r="O192">
        <v>29.28</v>
      </c>
      <c r="P192">
        <v>16</v>
      </c>
    </row>
    <row r="193" spans="1:16" x14ac:dyDescent="0.25">
      <c r="A193" t="s">
        <v>175</v>
      </c>
      <c r="B193" t="s">
        <v>176</v>
      </c>
      <c r="C193" t="s">
        <v>177</v>
      </c>
      <c r="D193">
        <v>2021</v>
      </c>
      <c r="E193" s="5">
        <f t="shared" si="2"/>
        <v>44197</v>
      </c>
      <c r="F193" t="s">
        <v>89</v>
      </c>
      <c r="G193" t="s">
        <v>28</v>
      </c>
      <c r="H193" t="s">
        <v>131</v>
      </c>
      <c r="I193" t="s">
        <v>167</v>
      </c>
      <c r="J193">
        <v>70</v>
      </c>
      <c r="K193">
        <v>4.67</v>
      </c>
      <c r="L193">
        <v>10.36</v>
      </c>
      <c r="M193" t="s">
        <v>24</v>
      </c>
      <c r="N193">
        <v>76.900000000000006</v>
      </c>
      <c r="O193">
        <v>38.450000000000003</v>
      </c>
      <c r="P193">
        <v>20</v>
      </c>
    </row>
    <row r="194" spans="1:16" x14ac:dyDescent="0.25">
      <c r="A194" t="s">
        <v>175</v>
      </c>
      <c r="B194" t="s">
        <v>176</v>
      </c>
      <c r="C194" t="s">
        <v>177</v>
      </c>
      <c r="D194">
        <v>2021</v>
      </c>
      <c r="E194" s="5">
        <f t="shared" si="2"/>
        <v>44197</v>
      </c>
      <c r="F194" t="s">
        <v>89</v>
      </c>
      <c r="G194" t="s">
        <v>23</v>
      </c>
      <c r="H194" t="s">
        <v>131</v>
      </c>
      <c r="I194" t="s">
        <v>167</v>
      </c>
      <c r="J194">
        <v>86</v>
      </c>
      <c r="K194">
        <v>5.98</v>
      </c>
      <c r="L194">
        <v>96.74</v>
      </c>
      <c r="M194" t="s">
        <v>24</v>
      </c>
      <c r="N194">
        <v>118.16</v>
      </c>
      <c r="O194">
        <v>59.08</v>
      </c>
      <c r="P194">
        <v>1</v>
      </c>
    </row>
    <row r="195" spans="1:16" x14ac:dyDescent="0.25">
      <c r="A195" t="s">
        <v>175</v>
      </c>
      <c r="B195" t="s">
        <v>176</v>
      </c>
      <c r="C195" t="s">
        <v>177</v>
      </c>
      <c r="D195">
        <v>2021</v>
      </c>
      <c r="E195" s="5">
        <f t="shared" ref="E195:E258" si="3">DATE(D195,1,1)</f>
        <v>44197</v>
      </c>
      <c r="F195" t="s">
        <v>89</v>
      </c>
      <c r="G195" t="s">
        <v>25</v>
      </c>
      <c r="H195" t="s">
        <v>131</v>
      </c>
      <c r="I195" t="s">
        <v>167</v>
      </c>
      <c r="J195">
        <v>89</v>
      </c>
      <c r="K195">
        <v>8.1199999999999992</v>
      </c>
      <c r="L195">
        <v>163.31</v>
      </c>
      <c r="M195" t="s">
        <v>24</v>
      </c>
      <c r="N195">
        <v>67.7</v>
      </c>
      <c r="O195">
        <v>42.88</v>
      </c>
      <c r="P195">
        <v>4</v>
      </c>
    </row>
    <row r="196" spans="1:16" x14ac:dyDescent="0.25">
      <c r="A196" t="s">
        <v>175</v>
      </c>
      <c r="B196" t="s">
        <v>176</v>
      </c>
      <c r="C196" t="s">
        <v>177</v>
      </c>
      <c r="D196">
        <v>2021</v>
      </c>
      <c r="E196" s="5">
        <f t="shared" si="3"/>
        <v>44197</v>
      </c>
      <c r="F196" t="s">
        <v>89</v>
      </c>
      <c r="G196" t="s">
        <v>27</v>
      </c>
      <c r="H196" t="s">
        <v>131</v>
      </c>
      <c r="I196" t="s">
        <v>167</v>
      </c>
      <c r="J196">
        <v>84</v>
      </c>
      <c r="K196">
        <v>1.1200000000000001</v>
      </c>
      <c r="L196">
        <v>224.88</v>
      </c>
      <c r="M196" t="s">
        <v>24</v>
      </c>
      <c r="N196">
        <v>71.97</v>
      </c>
      <c r="O196">
        <v>35.979999999999997</v>
      </c>
      <c r="P196">
        <v>16</v>
      </c>
    </row>
    <row r="197" spans="1:16" x14ac:dyDescent="0.25">
      <c r="A197" t="s">
        <v>175</v>
      </c>
      <c r="B197" t="s">
        <v>176</v>
      </c>
      <c r="C197" t="s">
        <v>177</v>
      </c>
      <c r="D197">
        <v>2021</v>
      </c>
      <c r="E197" s="5">
        <f t="shared" si="3"/>
        <v>44197</v>
      </c>
      <c r="F197" t="s">
        <v>89</v>
      </c>
      <c r="G197" t="s">
        <v>37</v>
      </c>
      <c r="H197" t="s">
        <v>131</v>
      </c>
      <c r="I197" t="s">
        <v>167</v>
      </c>
      <c r="J197">
        <v>67</v>
      </c>
      <c r="K197">
        <v>0.49</v>
      </c>
      <c r="L197">
        <v>177.2</v>
      </c>
      <c r="M197" t="s">
        <v>24</v>
      </c>
      <c r="N197">
        <v>198.24</v>
      </c>
      <c r="O197">
        <v>99.12</v>
      </c>
      <c r="P197">
        <v>19</v>
      </c>
    </row>
    <row r="198" spans="1:16" x14ac:dyDescent="0.25">
      <c r="A198" t="s">
        <v>178</v>
      </c>
      <c r="B198" t="s">
        <v>179</v>
      </c>
      <c r="C198" t="s">
        <v>180</v>
      </c>
      <c r="D198">
        <v>2019</v>
      </c>
      <c r="E198" s="5">
        <f t="shared" si="3"/>
        <v>43466</v>
      </c>
      <c r="F198" t="s">
        <v>89</v>
      </c>
      <c r="G198" t="s">
        <v>23</v>
      </c>
      <c r="H198" t="s">
        <v>84</v>
      </c>
      <c r="I198" t="s">
        <v>167</v>
      </c>
      <c r="J198">
        <v>71</v>
      </c>
      <c r="K198">
        <v>3.79</v>
      </c>
      <c r="L198">
        <v>71.44</v>
      </c>
      <c r="M198" t="s">
        <v>24</v>
      </c>
      <c r="N198">
        <v>84.71</v>
      </c>
      <c r="O198">
        <v>42.35</v>
      </c>
      <c r="P198">
        <v>19</v>
      </c>
    </row>
    <row r="199" spans="1:16" x14ac:dyDescent="0.25">
      <c r="A199" t="s">
        <v>178</v>
      </c>
      <c r="B199" t="s">
        <v>179</v>
      </c>
      <c r="C199" t="s">
        <v>180</v>
      </c>
      <c r="D199">
        <v>2019</v>
      </c>
      <c r="E199" s="5">
        <f t="shared" si="3"/>
        <v>43466</v>
      </c>
      <c r="F199" t="s">
        <v>89</v>
      </c>
      <c r="G199" t="s">
        <v>27</v>
      </c>
      <c r="H199" t="s">
        <v>84</v>
      </c>
      <c r="I199" t="s">
        <v>167</v>
      </c>
      <c r="J199">
        <v>89</v>
      </c>
      <c r="K199">
        <v>6.35</v>
      </c>
      <c r="L199">
        <v>84.33</v>
      </c>
      <c r="M199" t="s">
        <v>24</v>
      </c>
      <c r="N199">
        <v>69.290000000000006</v>
      </c>
      <c r="O199">
        <v>38.24</v>
      </c>
      <c r="P199">
        <v>12</v>
      </c>
    </row>
    <row r="200" spans="1:16" x14ac:dyDescent="0.25">
      <c r="A200" t="s">
        <v>178</v>
      </c>
      <c r="B200" t="s">
        <v>179</v>
      </c>
      <c r="C200" t="s">
        <v>180</v>
      </c>
      <c r="D200">
        <v>2019</v>
      </c>
      <c r="E200" s="5">
        <f t="shared" si="3"/>
        <v>43466</v>
      </c>
      <c r="F200" t="s">
        <v>89</v>
      </c>
      <c r="G200" t="s">
        <v>28</v>
      </c>
      <c r="H200" t="s">
        <v>84</v>
      </c>
      <c r="I200" t="s">
        <v>167</v>
      </c>
      <c r="J200">
        <v>69</v>
      </c>
      <c r="K200">
        <v>7.26</v>
      </c>
      <c r="L200">
        <v>164.48</v>
      </c>
      <c r="M200" t="s">
        <v>24</v>
      </c>
      <c r="N200">
        <v>181.74</v>
      </c>
      <c r="O200">
        <v>90.87</v>
      </c>
      <c r="P200">
        <v>10</v>
      </c>
    </row>
    <row r="201" spans="1:16" x14ac:dyDescent="0.25">
      <c r="A201" t="s">
        <v>178</v>
      </c>
      <c r="B201" t="s">
        <v>179</v>
      </c>
      <c r="C201" t="s">
        <v>180</v>
      </c>
      <c r="D201">
        <v>2019</v>
      </c>
      <c r="E201" s="5">
        <f t="shared" si="3"/>
        <v>43466</v>
      </c>
      <c r="F201" t="s">
        <v>89</v>
      </c>
      <c r="G201" t="s">
        <v>37</v>
      </c>
      <c r="H201" t="s">
        <v>84</v>
      </c>
      <c r="I201" t="s">
        <v>167</v>
      </c>
      <c r="J201">
        <v>80</v>
      </c>
      <c r="K201">
        <v>6.67</v>
      </c>
      <c r="L201">
        <v>229.27</v>
      </c>
      <c r="M201" t="s">
        <v>24</v>
      </c>
      <c r="N201">
        <v>65.5</v>
      </c>
      <c r="O201">
        <v>46.05</v>
      </c>
      <c r="P201">
        <v>12</v>
      </c>
    </row>
    <row r="202" spans="1:16" x14ac:dyDescent="0.25">
      <c r="A202" t="s">
        <v>181</v>
      </c>
      <c r="B202" t="s">
        <v>62</v>
      </c>
      <c r="C202" t="s">
        <v>63</v>
      </c>
      <c r="D202">
        <v>2017</v>
      </c>
      <c r="E202" s="5">
        <f t="shared" si="3"/>
        <v>42736</v>
      </c>
      <c r="F202" t="s">
        <v>18</v>
      </c>
      <c r="G202" t="s">
        <v>37</v>
      </c>
      <c r="H202" t="s">
        <v>64</v>
      </c>
      <c r="I202" t="s">
        <v>65</v>
      </c>
      <c r="J202">
        <v>81</v>
      </c>
      <c r="K202">
        <v>7.12</v>
      </c>
      <c r="L202">
        <v>22.1</v>
      </c>
      <c r="M202" t="s">
        <v>22</v>
      </c>
      <c r="N202">
        <v>113.99</v>
      </c>
      <c r="O202">
        <v>56.99</v>
      </c>
      <c r="P202">
        <v>10</v>
      </c>
    </row>
    <row r="203" spans="1:16" x14ac:dyDescent="0.25">
      <c r="A203" t="s">
        <v>181</v>
      </c>
      <c r="B203" t="s">
        <v>62</v>
      </c>
      <c r="C203" t="s">
        <v>63</v>
      </c>
      <c r="D203">
        <v>2017</v>
      </c>
      <c r="E203" s="5">
        <f t="shared" si="3"/>
        <v>42736</v>
      </c>
      <c r="F203" t="s">
        <v>18</v>
      </c>
      <c r="G203" t="s">
        <v>66</v>
      </c>
      <c r="H203" t="s">
        <v>64</v>
      </c>
      <c r="I203" t="s">
        <v>65</v>
      </c>
      <c r="J203">
        <v>94</v>
      </c>
      <c r="K203">
        <v>9.48</v>
      </c>
      <c r="L203">
        <v>249.29</v>
      </c>
      <c r="M203" t="s">
        <v>22</v>
      </c>
      <c r="N203">
        <v>182.93</v>
      </c>
      <c r="O203">
        <v>91.47</v>
      </c>
      <c r="P203">
        <v>13</v>
      </c>
    </row>
    <row r="204" spans="1:16" x14ac:dyDescent="0.25">
      <c r="A204" t="s">
        <v>182</v>
      </c>
      <c r="B204" t="s">
        <v>62</v>
      </c>
      <c r="C204" t="s">
        <v>63</v>
      </c>
      <c r="D204">
        <v>2023</v>
      </c>
      <c r="E204" s="5">
        <f t="shared" si="3"/>
        <v>44927</v>
      </c>
      <c r="F204" t="s">
        <v>18</v>
      </c>
      <c r="G204" t="s">
        <v>37</v>
      </c>
      <c r="H204" t="s">
        <v>64</v>
      </c>
      <c r="I204" t="s">
        <v>65</v>
      </c>
      <c r="J204">
        <v>74</v>
      </c>
      <c r="K204">
        <v>3.16</v>
      </c>
      <c r="L204">
        <v>237.84</v>
      </c>
      <c r="M204" t="s">
        <v>22</v>
      </c>
      <c r="N204">
        <v>71.64</v>
      </c>
      <c r="O204">
        <v>35.82</v>
      </c>
      <c r="P204">
        <v>6</v>
      </c>
    </row>
    <row r="205" spans="1:16" x14ac:dyDescent="0.25">
      <c r="A205" t="s">
        <v>183</v>
      </c>
      <c r="B205" t="s">
        <v>184</v>
      </c>
      <c r="C205" t="s">
        <v>125</v>
      </c>
      <c r="D205">
        <v>2018</v>
      </c>
      <c r="E205" s="5">
        <f t="shared" si="3"/>
        <v>43101</v>
      </c>
      <c r="F205" t="s">
        <v>35</v>
      </c>
      <c r="G205" t="s">
        <v>23</v>
      </c>
      <c r="H205" t="s">
        <v>185</v>
      </c>
      <c r="I205" t="s">
        <v>21</v>
      </c>
      <c r="J205">
        <v>64</v>
      </c>
      <c r="K205">
        <v>0.86</v>
      </c>
      <c r="L205">
        <v>211.26</v>
      </c>
      <c r="M205" t="s">
        <v>24</v>
      </c>
      <c r="N205">
        <v>24.72</v>
      </c>
      <c r="O205">
        <v>12.36</v>
      </c>
      <c r="P205">
        <v>16</v>
      </c>
    </row>
    <row r="206" spans="1:16" x14ac:dyDescent="0.25">
      <c r="A206" t="s">
        <v>183</v>
      </c>
      <c r="B206" t="s">
        <v>184</v>
      </c>
      <c r="C206" t="s">
        <v>125</v>
      </c>
      <c r="D206">
        <v>2018</v>
      </c>
      <c r="E206" s="5">
        <f t="shared" si="3"/>
        <v>43101</v>
      </c>
      <c r="F206" t="s">
        <v>35</v>
      </c>
      <c r="G206" t="s">
        <v>27</v>
      </c>
      <c r="H206" t="s">
        <v>185</v>
      </c>
      <c r="I206" t="s">
        <v>21</v>
      </c>
      <c r="J206">
        <v>83</v>
      </c>
      <c r="K206">
        <v>3.43</v>
      </c>
      <c r="L206">
        <v>191.81</v>
      </c>
      <c r="M206" t="s">
        <v>24</v>
      </c>
      <c r="N206">
        <v>30.55</v>
      </c>
      <c r="O206">
        <v>15.28</v>
      </c>
      <c r="P206">
        <v>5</v>
      </c>
    </row>
    <row r="207" spans="1:16" x14ac:dyDescent="0.25">
      <c r="A207" t="s">
        <v>183</v>
      </c>
      <c r="B207" t="s">
        <v>184</v>
      </c>
      <c r="C207" t="s">
        <v>125</v>
      </c>
      <c r="D207">
        <v>2018</v>
      </c>
      <c r="E207" s="5">
        <f t="shared" si="3"/>
        <v>43101</v>
      </c>
      <c r="F207" t="s">
        <v>35</v>
      </c>
      <c r="G207" t="s">
        <v>28</v>
      </c>
      <c r="H207" t="s">
        <v>185</v>
      </c>
      <c r="I207" t="s">
        <v>21</v>
      </c>
      <c r="J207">
        <v>92</v>
      </c>
      <c r="K207">
        <v>6.96</v>
      </c>
      <c r="L207">
        <v>156.56</v>
      </c>
      <c r="M207" t="s">
        <v>24</v>
      </c>
      <c r="N207">
        <v>181.02</v>
      </c>
      <c r="O207">
        <v>90.51</v>
      </c>
      <c r="P207">
        <v>1</v>
      </c>
    </row>
    <row r="208" spans="1:16" x14ac:dyDescent="0.25">
      <c r="A208" t="s">
        <v>186</v>
      </c>
      <c r="B208" t="s">
        <v>187</v>
      </c>
      <c r="C208" t="s">
        <v>171</v>
      </c>
      <c r="D208">
        <v>2012</v>
      </c>
      <c r="E208" s="5">
        <f t="shared" si="3"/>
        <v>40909</v>
      </c>
      <c r="F208" t="s">
        <v>35</v>
      </c>
      <c r="G208" t="s">
        <v>19</v>
      </c>
      <c r="H208" t="s">
        <v>76</v>
      </c>
      <c r="I208" t="s">
        <v>51</v>
      </c>
      <c r="J208">
        <v>74</v>
      </c>
      <c r="K208">
        <v>6.8</v>
      </c>
      <c r="L208">
        <v>60.15</v>
      </c>
      <c r="M208" t="s">
        <v>24</v>
      </c>
      <c r="N208">
        <v>91.62</v>
      </c>
      <c r="O208">
        <v>45.81</v>
      </c>
      <c r="P208">
        <v>14</v>
      </c>
    </row>
    <row r="209" spans="1:16" x14ac:dyDescent="0.25">
      <c r="A209" t="s">
        <v>186</v>
      </c>
      <c r="B209" t="s">
        <v>187</v>
      </c>
      <c r="C209" t="s">
        <v>171</v>
      </c>
      <c r="D209">
        <v>2012</v>
      </c>
      <c r="E209" s="5">
        <f t="shared" si="3"/>
        <v>40909</v>
      </c>
      <c r="F209" t="s">
        <v>35</v>
      </c>
      <c r="G209" t="s">
        <v>26</v>
      </c>
      <c r="H209" t="s">
        <v>76</v>
      </c>
      <c r="I209" t="s">
        <v>51</v>
      </c>
      <c r="J209">
        <v>82</v>
      </c>
      <c r="K209">
        <v>2.4700000000000002</v>
      </c>
      <c r="L209">
        <v>241.43</v>
      </c>
      <c r="M209" t="s">
        <v>24</v>
      </c>
      <c r="N209">
        <v>157.94999999999999</v>
      </c>
      <c r="O209">
        <v>78.97</v>
      </c>
      <c r="P209">
        <v>6</v>
      </c>
    </row>
    <row r="210" spans="1:16" x14ac:dyDescent="0.25">
      <c r="A210" t="s">
        <v>186</v>
      </c>
      <c r="B210" t="s">
        <v>187</v>
      </c>
      <c r="C210" t="s">
        <v>171</v>
      </c>
      <c r="D210">
        <v>2012</v>
      </c>
      <c r="E210" s="5">
        <f t="shared" si="3"/>
        <v>40909</v>
      </c>
      <c r="F210" t="s">
        <v>35</v>
      </c>
      <c r="G210" t="s">
        <v>28</v>
      </c>
      <c r="H210" t="s">
        <v>76</v>
      </c>
      <c r="I210" t="s">
        <v>51</v>
      </c>
      <c r="J210">
        <v>89</v>
      </c>
      <c r="K210">
        <v>9.48</v>
      </c>
      <c r="L210">
        <v>246.13</v>
      </c>
      <c r="M210" t="s">
        <v>24</v>
      </c>
      <c r="N210">
        <v>95.03</v>
      </c>
      <c r="O210">
        <v>47.52</v>
      </c>
      <c r="P210">
        <v>12</v>
      </c>
    </row>
    <row r="211" spans="1:16" x14ac:dyDescent="0.25">
      <c r="A211" t="s">
        <v>188</v>
      </c>
      <c r="B211" t="s">
        <v>189</v>
      </c>
      <c r="C211" t="s">
        <v>190</v>
      </c>
      <c r="D211">
        <v>2019</v>
      </c>
      <c r="E211" s="5">
        <f t="shared" si="3"/>
        <v>43466</v>
      </c>
      <c r="F211" t="s">
        <v>35</v>
      </c>
      <c r="G211" t="s">
        <v>23</v>
      </c>
      <c r="H211" t="s">
        <v>191</v>
      </c>
      <c r="I211" t="s">
        <v>21</v>
      </c>
      <c r="J211">
        <v>76</v>
      </c>
      <c r="K211">
        <v>4.24</v>
      </c>
      <c r="L211">
        <v>41.35</v>
      </c>
      <c r="M211" t="s">
        <v>24</v>
      </c>
      <c r="N211">
        <v>43.94</v>
      </c>
      <c r="O211">
        <v>27.31</v>
      </c>
      <c r="P211">
        <v>8</v>
      </c>
    </row>
    <row r="212" spans="1:16" x14ac:dyDescent="0.25">
      <c r="A212" t="s">
        <v>188</v>
      </c>
      <c r="B212" t="s">
        <v>189</v>
      </c>
      <c r="C212" t="s">
        <v>190</v>
      </c>
      <c r="D212">
        <v>2019</v>
      </c>
      <c r="E212" s="5">
        <f t="shared" si="3"/>
        <v>43466</v>
      </c>
      <c r="F212" t="s">
        <v>35</v>
      </c>
      <c r="G212" t="s">
        <v>27</v>
      </c>
      <c r="H212" t="s">
        <v>191</v>
      </c>
      <c r="I212" t="s">
        <v>21</v>
      </c>
      <c r="J212">
        <v>81</v>
      </c>
      <c r="K212">
        <v>4.8600000000000003</v>
      </c>
      <c r="L212">
        <v>93.43</v>
      </c>
      <c r="M212" t="s">
        <v>24</v>
      </c>
      <c r="N212">
        <v>187.19</v>
      </c>
      <c r="O212">
        <v>93.59</v>
      </c>
      <c r="P212">
        <v>16</v>
      </c>
    </row>
    <row r="213" spans="1:16" x14ac:dyDescent="0.25">
      <c r="A213" t="s">
        <v>188</v>
      </c>
      <c r="B213" t="s">
        <v>189</v>
      </c>
      <c r="C213" t="s">
        <v>190</v>
      </c>
      <c r="D213">
        <v>2019</v>
      </c>
      <c r="E213" s="5">
        <f t="shared" si="3"/>
        <v>43466</v>
      </c>
      <c r="F213" t="s">
        <v>35</v>
      </c>
      <c r="G213" t="s">
        <v>28</v>
      </c>
      <c r="H213" t="s">
        <v>191</v>
      </c>
      <c r="I213" t="s">
        <v>21</v>
      </c>
      <c r="J213">
        <v>70</v>
      </c>
      <c r="K213">
        <v>0.93</v>
      </c>
      <c r="L213">
        <v>40.92</v>
      </c>
      <c r="M213" t="s">
        <v>24</v>
      </c>
      <c r="N213">
        <v>92.62</v>
      </c>
      <c r="O213">
        <v>46.31</v>
      </c>
      <c r="P213">
        <v>13</v>
      </c>
    </row>
    <row r="214" spans="1:16" x14ac:dyDescent="0.25">
      <c r="A214" t="s">
        <v>192</v>
      </c>
      <c r="B214" t="s">
        <v>193</v>
      </c>
      <c r="C214" t="s">
        <v>194</v>
      </c>
      <c r="D214">
        <v>2021</v>
      </c>
      <c r="E214" s="5">
        <f t="shared" si="3"/>
        <v>44197</v>
      </c>
      <c r="F214" t="s">
        <v>35</v>
      </c>
      <c r="G214" t="s">
        <v>23</v>
      </c>
      <c r="H214" t="s">
        <v>92</v>
      </c>
      <c r="I214" t="s">
        <v>51</v>
      </c>
      <c r="J214">
        <v>90</v>
      </c>
      <c r="K214">
        <v>9.11</v>
      </c>
      <c r="L214">
        <v>204.36</v>
      </c>
      <c r="M214" t="s">
        <v>24</v>
      </c>
      <c r="N214">
        <v>177.5</v>
      </c>
      <c r="O214">
        <v>88.75</v>
      </c>
      <c r="P214">
        <v>13</v>
      </c>
    </row>
    <row r="215" spans="1:16" x14ac:dyDescent="0.25">
      <c r="A215" t="s">
        <v>192</v>
      </c>
      <c r="B215" t="s">
        <v>193</v>
      </c>
      <c r="C215" t="s">
        <v>194</v>
      </c>
      <c r="D215">
        <v>2021</v>
      </c>
      <c r="E215" s="5">
        <f t="shared" si="3"/>
        <v>44197</v>
      </c>
      <c r="F215" t="s">
        <v>35</v>
      </c>
      <c r="G215" t="s">
        <v>25</v>
      </c>
      <c r="H215" t="s">
        <v>92</v>
      </c>
      <c r="I215" t="s">
        <v>51</v>
      </c>
      <c r="J215">
        <v>77</v>
      </c>
      <c r="K215">
        <v>5.07</v>
      </c>
      <c r="L215">
        <v>59.71</v>
      </c>
      <c r="M215" t="s">
        <v>24</v>
      </c>
      <c r="N215">
        <v>198.93</v>
      </c>
      <c r="O215">
        <v>99.47</v>
      </c>
      <c r="P215">
        <v>0</v>
      </c>
    </row>
    <row r="216" spans="1:16" x14ac:dyDescent="0.25">
      <c r="A216" t="s">
        <v>192</v>
      </c>
      <c r="B216" t="s">
        <v>193</v>
      </c>
      <c r="C216" t="s">
        <v>194</v>
      </c>
      <c r="D216">
        <v>2021</v>
      </c>
      <c r="E216" s="5">
        <f t="shared" si="3"/>
        <v>44197</v>
      </c>
      <c r="F216" t="s">
        <v>35</v>
      </c>
      <c r="G216" t="s">
        <v>27</v>
      </c>
      <c r="H216" t="s">
        <v>92</v>
      </c>
      <c r="I216" t="s">
        <v>51</v>
      </c>
      <c r="J216">
        <v>93</v>
      </c>
      <c r="K216">
        <v>1.08</v>
      </c>
      <c r="L216">
        <v>178.96</v>
      </c>
      <c r="M216" t="s">
        <v>24</v>
      </c>
      <c r="N216">
        <v>70.38</v>
      </c>
      <c r="O216">
        <v>35.19</v>
      </c>
      <c r="P216">
        <v>1</v>
      </c>
    </row>
    <row r="217" spans="1:16" x14ac:dyDescent="0.25">
      <c r="A217" t="s">
        <v>192</v>
      </c>
      <c r="B217" t="s">
        <v>193</v>
      </c>
      <c r="C217" t="s">
        <v>194</v>
      </c>
      <c r="D217">
        <v>2021</v>
      </c>
      <c r="E217" s="5">
        <f t="shared" si="3"/>
        <v>44197</v>
      </c>
      <c r="F217" t="s">
        <v>35</v>
      </c>
      <c r="G217" t="s">
        <v>39</v>
      </c>
      <c r="H217" t="s">
        <v>92</v>
      </c>
      <c r="I217" t="s">
        <v>51</v>
      </c>
      <c r="J217">
        <v>98</v>
      </c>
      <c r="K217">
        <v>8.31</v>
      </c>
      <c r="L217">
        <v>174.32</v>
      </c>
      <c r="M217" t="s">
        <v>24</v>
      </c>
      <c r="N217">
        <v>32.06</v>
      </c>
      <c r="O217">
        <v>61.08</v>
      </c>
      <c r="P217">
        <v>14</v>
      </c>
    </row>
    <row r="218" spans="1:16" x14ac:dyDescent="0.25">
      <c r="A218" t="s">
        <v>192</v>
      </c>
      <c r="B218" t="s">
        <v>193</v>
      </c>
      <c r="C218" t="s">
        <v>194</v>
      </c>
      <c r="D218">
        <v>2021</v>
      </c>
      <c r="E218" s="5">
        <f t="shared" si="3"/>
        <v>44197</v>
      </c>
      <c r="F218" t="s">
        <v>35</v>
      </c>
      <c r="G218" t="s">
        <v>28</v>
      </c>
      <c r="H218" t="s">
        <v>92</v>
      </c>
      <c r="I218" t="s">
        <v>51</v>
      </c>
      <c r="J218">
        <v>68</v>
      </c>
      <c r="K218">
        <v>9.07</v>
      </c>
      <c r="L218">
        <v>5.73</v>
      </c>
      <c r="M218" t="s">
        <v>24</v>
      </c>
      <c r="N218">
        <v>47.05</v>
      </c>
      <c r="O218">
        <v>23.52</v>
      </c>
      <c r="P218">
        <v>19</v>
      </c>
    </row>
    <row r="219" spans="1:16" x14ac:dyDescent="0.25">
      <c r="A219" t="s">
        <v>195</v>
      </c>
      <c r="B219" t="s">
        <v>196</v>
      </c>
      <c r="C219" t="s">
        <v>196</v>
      </c>
      <c r="D219">
        <v>2024</v>
      </c>
      <c r="E219" s="5">
        <f t="shared" si="3"/>
        <v>45292</v>
      </c>
      <c r="F219" t="s">
        <v>130</v>
      </c>
      <c r="G219" t="s">
        <v>28</v>
      </c>
      <c r="H219" t="s">
        <v>84</v>
      </c>
      <c r="I219" t="s">
        <v>51</v>
      </c>
      <c r="J219">
        <v>83</v>
      </c>
      <c r="K219">
        <v>1.2</v>
      </c>
      <c r="L219">
        <v>72.739999999999995</v>
      </c>
      <c r="M219" t="s">
        <v>24</v>
      </c>
      <c r="N219">
        <v>63.72</v>
      </c>
      <c r="O219">
        <v>31.86</v>
      </c>
      <c r="P219">
        <v>13</v>
      </c>
    </row>
    <row r="220" spans="1:16" x14ac:dyDescent="0.25">
      <c r="A220" t="s">
        <v>195</v>
      </c>
      <c r="B220" t="s">
        <v>196</v>
      </c>
      <c r="C220" t="s">
        <v>196</v>
      </c>
      <c r="D220">
        <v>2024</v>
      </c>
      <c r="E220" s="5">
        <f t="shared" si="3"/>
        <v>45292</v>
      </c>
      <c r="F220" t="s">
        <v>130</v>
      </c>
      <c r="G220" t="s">
        <v>39</v>
      </c>
      <c r="H220" t="s">
        <v>84</v>
      </c>
      <c r="I220" t="s">
        <v>51</v>
      </c>
      <c r="J220">
        <v>85</v>
      </c>
      <c r="K220">
        <v>6.27</v>
      </c>
      <c r="L220">
        <v>16.64</v>
      </c>
      <c r="M220" t="s">
        <v>24</v>
      </c>
      <c r="N220">
        <v>168.15</v>
      </c>
      <c r="O220">
        <v>84.08</v>
      </c>
      <c r="P220">
        <v>17</v>
      </c>
    </row>
    <row r="221" spans="1:16" x14ac:dyDescent="0.25">
      <c r="A221" t="s">
        <v>197</v>
      </c>
      <c r="B221" t="s">
        <v>198</v>
      </c>
      <c r="C221" t="s">
        <v>164</v>
      </c>
      <c r="D221">
        <v>2018</v>
      </c>
      <c r="E221" s="5">
        <f t="shared" si="3"/>
        <v>43101</v>
      </c>
      <c r="F221" t="s">
        <v>199</v>
      </c>
      <c r="G221" t="s">
        <v>27</v>
      </c>
      <c r="H221" t="s">
        <v>92</v>
      </c>
      <c r="I221" t="s">
        <v>51</v>
      </c>
      <c r="J221">
        <v>85</v>
      </c>
      <c r="K221">
        <v>5.2</v>
      </c>
      <c r="L221">
        <v>61.24</v>
      </c>
      <c r="M221" t="s">
        <v>24</v>
      </c>
      <c r="N221">
        <v>33</v>
      </c>
      <c r="O221">
        <v>25.29</v>
      </c>
      <c r="P221">
        <v>19</v>
      </c>
    </row>
    <row r="222" spans="1:16" x14ac:dyDescent="0.25">
      <c r="A222" t="s">
        <v>197</v>
      </c>
      <c r="B222" t="s">
        <v>198</v>
      </c>
      <c r="C222" t="s">
        <v>164</v>
      </c>
      <c r="D222">
        <v>2018</v>
      </c>
      <c r="E222" s="5">
        <f t="shared" si="3"/>
        <v>43101</v>
      </c>
      <c r="F222" t="s">
        <v>199</v>
      </c>
      <c r="G222" t="s">
        <v>28</v>
      </c>
      <c r="H222" t="s">
        <v>92</v>
      </c>
      <c r="I222" t="s">
        <v>51</v>
      </c>
      <c r="J222">
        <v>68</v>
      </c>
      <c r="K222">
        <v>5.75</v>
      </c>
      <c r="L222">
        <v>47.64</v>
      </c>
      <c r="M222" t="s">
        <v>24</v>
      </c>
      <c r="N222">
        <v>135.30000000000001</v>
      </c>
      <c r="O222">
        <v>67.650000000000006</v>
      </c>
      <c r="P222">
        <v>11</v>
      </c>
    </row>
    <row r="223" spans="1:16" x14ac:dyDescent="0.25">
      <c r="A223" t="s">
        <v>200</v>
      </c>
      <c r="B223" t="s">
        <v>54</v>
      </c>
      <c r="C223" t="s">
        <v>55</v>
      </c>
      <c r="D223">
        <v>2011</v>
      </c>
      <c r="E223" s="5">
        <f t="shared" si="3"/>
        <v>40544</v>
      </c>
      <c r="F223" t="s">
        <v>35</v>
      </c>
      <c r="G223" t="s">
        <v>201</v>
      </c>
      <c r="H223" t="s">
        <v>56</v>
      </c>
      <c r="I223" t="s">
        <v>51</v>
      </c>
      <c r="J223">
        <v>97</v>
      </c>
      <c r="K223">
        <v>5.31</v>
      </c>
      <c r="L223">
        <v>127.32</v>
      </c>
      <c r="M223" t="s">
        <v>24</v>
      </c>
      <c r="N223">
        <v>197.72</v>
      </c>
      <c r="O223">
        <v>98.86</v>
      </c>
      <c r="P223">
        <v>12</v>
      </c>
    </row>
    <row r="224" spans="1:16" x14ac:dyDescent="0.25">
      <c r="A224" t="s">
        <v>202</v>
      </c>
      <c r="B224" t="s">
        <v>54</v>
      </c>
      <c r="C224" t="s">
        <v>55</v>
      </c>
      <c r="D224">
        <v>2008</v>
      </c>
      <c r="E224" s="5">
        <f t="shared" si="3"/>
        <v>39448</v>
      </c>
      <c r="F224" t="s">
        <v>35</v>
      </c>
      <c r="G224" t="s">
        <v>19</v>
      </c>
      <c r="H224" t="s">
        <v>203</v>
      </c>
      <c r="I224" t="s">
        <v>21</v>
      </c>
      <c r="J224">
        <v>66</v>
      </c>
      <c r="K224">
        <v>6.39</v>
      </c>
      <c r="L224">
        <v>245.28</v>
      </c>
      <c r="M224" t="s">
        <v>24</v>
      </c>
      <c r="N224">
        <v>54.46</v>
      </c>
      <c r="O224">
        <v>27.23</v>
      </c>
      <c r="P224">
        <v>2</v>
      </c>
    </row>
    <row r="225" spans="1:16" x14ac:dyDescent="0.25">
      <c r="A225" t="s">
        <v>202</v>
      </c>
      <c r="B225" t="s">
        <v>54</v>
      </c>
      <c r="C225" t="s">
        <v>55</v>
      </c>
      <c r="D225">
        <v>2008</v>
      </c>
      <c r="E225" s="5">
        <f t="shared" si="3"/>
        <v>39448</v>
      </c>
      <c r="F225" t="s">
        <v>35</v>
      </c>
      <c r="G225" t="s">
        <v>26</v>
      </c>
      <c r="H225" t="s">
        <v>203</v>
      </c>
      <c r="I225" t="s">
        <v>21</v>
      </c>
      <c r="J225">
        <v>69</v>
      </c>
      <c r="K225">
        <v>7.36</v>
      </c>
      <c r="L225">
        <v>157.44</v>
      </c>
      <c r="M225" t="s">
        <v>24</v>
      </c>
      <c r="N225">
        <v>155.44</v>
      </c>
      <c r="O225">
        <v>77.72</v>
      </c>
      <c r="P225">
        <v>10</v>
      </c>
    </row>
    <row r="226" spans="1:16" x14ac:dyDescent="0.25">
      <c r="A226" t="s">
        <v>202</v>
      </c>
      <c r="B226" t="s">
        <v>54</v>
      </c>
      <c r="C226" t="s">
        <v>55</v>
      </c>
      <c r="D226">
        <v>2008</v>
      </c>
      <c r="E226" s="5">
        <f t="shared" si="3"/>
        <v>39448</v>
      </c>
      <c r="F226" t="s">
        <v>35</v>
      </c>
      <c r="G226" t="s">
        <v>28</v>
      </c>
      <c r="H226" t="s">
        <v>203</v>
      </c>
      <c r="I226" t="s">
        <v>21</v>
      </c>
      <c r="J226">
        <v>68</v>
      </c>
      <c r="K226">
        <v>3.59</v>
      </c>
      <c r="L226">
        <v>85.3</v>
      </c>
      <c r="M226" t="s">
        <v>24</v>
      </c>
      <c r="N226">
        <v>130.35</v>
      </c>
      <c r="O226">
        <v>65.17</v>
      </c>
      <c r="P226">
        <v>14</v>
      </c>
    </row>
    <row r="227" spans="1:16" x14ac:dyDescent="0.25">
      <c r="A227" t="s">
        <v>204</v>
      </c>
      <c r="B227" t="s">
        <v>205</v>
      </c>
      <c r="C227" t="s">
        <v>17</v>
      </c>
      <c r="D227">
        <v>2010</v>
      </c>
      <c r="E227" s="5">
        <f t="shared" si="3"/>
        <v>40179</v>
      </c>
      <c r="F227" t="s">
        <v>18</v>
      </c>
      <c r="G227" t="s">
        <v>19</v>
      </c>
      <c r="H227" t="s">
        <v>20</v>
      </c>
      <c r="I227" t="s">
        <v>21</v>
      </c>
      <c r="J227">
        <v>84</v>
      </c>
      <c r="K227">
        <v>1.9</v>
      </c>
      <c r="L227">
        <v>34.58</v>
      </c>
      <c r="M227" t="s">
        <v>24</v>
      </c>
      <c r="N227">
        <v>144.63</v>
      </c>
      <c r="O227">
        <v>72.31</v>
      </c>
      <c r="P227">
        <v>1</v>
      </c>
    </row>
    <row r="228" spans="1:16" x14ac:dyDescent="0.25">
      <c r="A228" t="s">
        <v>204</v>
      </c>
      <c r="B228" t="s">
        <v>205</v>
      </c>
      <c r="C228" t="s">
        <v>17</v>
      </c>
      <c r="D228">
        <v>2010</v>
      </c>
      <c r="E228" s="5">
        <f t="shared" si="3"/>
        <v>40179</v>
      </c>
      <c r="F228" t="s">
        <v>18</v>
      </c>
      <c r="G228" t="s">
        <v>26</v>
      </c>
      <c r="H228" t="s">
        <v>20</v>
      </c>
      <c r="I228" t="s">
        <v>21</v>
      </c>
      <c r="J228">
        <v>92</v>
      </c>
      <c r="K228">
        <v>2.0699999999999998</v>
      </c>
      <c r="L228">
        <v>11.43</v>
      </c>
      <c r="M228" t="s">
        <v>24</v>
      </c>
      <c r="N228">
        <v>187.01</v>
      </c>
      <c r="O228">
        <v>93.5</v>
      </c>
      <c r="P228">
        <v>17</v>
      </c>
    </row>
    <row r="229" spans="1:16" x14ac:dyDescent="0.25">
      <c r="A229" t="s">
        <v>175</v>
      </c>
      <c r="B229" t="s">
        <v>176</v>
      </c>
      <c r="C229" t="s">
        <v>177</v>
      </c>
      <c r="D229">
        <v>2021</v>
      </c>
      <c r="E229" s="5">
        <f t="shared" si="3"/>
        <v>44197</v>
      </c>
      <c r="F229" t="s">
        <v>89</v>
      </c>
      <c r="G229" t="s">
        <v>23</v>
      </c>
      <c r="H229" t="s">
        <v>131</v>
      </c>
      <c r="I229" t="s">
        <v>167</v>
      </c>
      <c r="J229">
        <v>88</v>
      </c>
      <c r="K229">
        <v>5.72</v>
      </c>
      <c r="L229">
        <v>96.74</v>
      </c>
      <c r="M229" t="s">
        <v>24</v>
      </c>
      <c r="N229">
        <v>118.16</v>
      </c>
      <c r="O229">
        <v>59.5</v>
      </c>
      <c r="P229">
        <v>0</v>
      </c>
    </row>
    <row r="230" spans="1:16" x14ac:dyDescent="0.25">
      <c r="A230" t="s">
        <v>200</v>
      </c>
      <c r="B230" t="s">
        <v>54</v>
      </c>
      <c r="C230" t="s">
        <v>55</v>
      </c>
      <c r="D230">
        <v>2011</v>
      </c>
      <c r="E230" s="5">
        <f t="shared" si="3"/>
        <v>40544</v>
      </c>
      <c r="F230" t="s">
        <v>35</v>
      </c>
      <c r="G230" t="s">
        <v>201</v>
      </c>
      <c r="H230" t="s">
        <v>56</v>
      </c>
      <c r="I230" t="s">
        <v>51</v>
      </c>
      <c r="J230">
        <v>99</v>
      </c>
      <c r="K230">
        <v>5.31</v>
      </c>
      <c r="L230">
        <v>127.32</v>
      </c>
      <c r="M230" t="s">
        <v>24</v>
      </c>
      <c r="N230">
        <v>197.72</v>
      </c>
      <c r="O230">
        <v>92.67</v>
      </c>
      <c r="P230">
        <v>12</v>
      </c>
    </row>
    <row r="231" spans="1:16" x14ac:dyDescent="0.25">
      <c r="A231" t="s">
        <v>108</v>
      </c>
      <c r="B231" t="s">
        <v>109</v>
      </c>
      <c r="C231" t="s">
        <v>110</v>
      </c>
      <c r="D231">
        <v>2011</v>
      </c>
      <c r="E231" s="5">
        <f t="shared" si="3"/>
        <v>40544</v>
      </c>
      <c r="F231" t="s">
        <v>18</v>
      </c>
      <c r="G231" t="s">
        <v>19</v>
      </c>
      <c r="H231" t="s">
        <v>76</v>
      </c>
      <c r="I231" t="s">
        <v>21</v>
      </c>
      <c r="J231">
        <v>92</v>
      </c>
      <c r="K231">
        <v>7.59</v>
      </c>
      <c r="L231">
        <v>68.11</v>
      </c>
      <c r="M231" t="s">
        <v>22</v>
      </c>
      <c r="N231">
        <v>12.85</v>
      </c>
      <c r="O231">
        <v>61.66</v>
      </c>
      <c r="P231">
        <v>15</v>
      </c>
    </row>
    <row r="232" spans="1:16" x14ac:dyDescent="0.25">
      <c r="A232" t="s">
        <v>95</v>
      </c>
      <c r="B232" t="s">
        <v>96</v>
      </c>
      <c r="C232" t="s">
        <v>42</v>
      </c>
      <c r="D232">
        <v>2020</v>
      </c>
      <c r="E232" s="5">
        <f t="shared" si="3"/>
        <v>43831</v>
      </c>
      <c r="F232" t="s">
        <v>18</v>
      </c>
      <c r="G232" t="s">
        <v>27</v>
      </c>
      <c r="H232" t="s">
        <v>94</v>
      </c>
      <c r="I232" t="s">
        <v>21</v>
      </c>
      <c r="J232">
        <v>85</v>
      </c>
      <c r="K232">
        <v>6.62</v>
      </c>
      <c r="L232">
        <v>26.37</v>
      </c>
      <c r="M232" t="s">
        <v>22</v>
      </c>
      <c r="N232">
        <v>155.63</v>
      </c>
      <c r="O232">
        <v>81.64</v>
      </c>
      <c r="P232">
        <v>20</v>
      </c>
    </row>
    <row r="233" spans="1:16" x14ac:dyDescent="0.25">
      <c r="A233" t="s">
        <v>80</v>
      </c>
      <c r="B233" t="s">
        <v>81</v>
      </c>
      <c r="C233" t="s">
        <v>82</v>
      </c>
      <c r="D233">
        <v>2011</v>
      </c>
      <c r="E233" s="5">
        <f t="shared" si="3"/>
        <v>40544</v>
      </c>
      <c r="F233" t="s">
        <v>83</v>
      </c>
      <c r="G233" t="s">
        <v>23</v>
      </c>
      <c r="H233" t="s">
        <v>84</v>
      </c>
      <c r="I233" t="s">
        <v>85</v>
      </c>
      <c r="J233">
        <v>86</v>
      </c>
      <c r="K233">
        <v>126.55</v>
      </c>
      <c r="L233">
        <v>246.99</v>
      </c>
      <c r="M233" t="s">
        <v>24</v>
      </c>
      <c r="N233">
        <v>121.11</v>
      </c>
      <c r="O233">
        <v>1342.61</v>
      </c>
      <c r="P233">
        <v>14</v>
      </c>
    </row>
    <row r="234" spans="1:16" x14ac:dyDescent="0.25">
      <c r="A234" t="s">
        <v>144</v>
      </c>
      <c r="B234" t="s">
        <v>145</v>
      </c>
      <c r="C234" t="s">
        <v>145</v>
      </c>
      <c r="D234">
        <v>2018</v>
      </c>
      <c r="E234" s="5">
        <f t="shared" si="3"/>
        <v>43101</v>
      </c>
      <c r="F234" t="s">
        <v>35</v>
      </c>
      <c r="G234" t="s">
        <v>27</v>
      </c>
      <c r="H234" t="s">
        <v>146</v>
      </c>
      <c r="I234" t="s">
        <v>51</v>
      </c>
      <c r="J234">
        <v>70</v>
      </c>
      <c r="K234">
        <v>7.53</v>
      </c>
      <c r="L234">
        <v>52.1</v>
      </c>
      <c r="M234" t="s">
        <v>24</v>
      </c>
      <c r="N234">
        <v>166.81</v>
      </c>
      <c r="O234">
        <v>82.42</v>
      </c>
      <c r="P234">
        <v>17</v>
      </c>
    </row>
    <row r="235" spans="1:16" x14ac:dyDescent="0.25">
      <c r="A235" t="s">
        <v>38</v>
      </c>
      <c r="B235" t="s">
        <v>33</v>
      </c>
      <c r="C235" t="s">
        <v>34</v>
      </c>
      <c r="D235">
        <v>2020</v>
      </c>
      <c r="E235" s="5">
        <f t="shared" si="3"/>
        <v>43831</v>
      </c>
      <c r="F235" t="s">
        <v>35</v>
      </c>
      <c r="G235" t="s">
        <v>27</v>
      </c>
      <c r="H235" t="s">
        <v>36</v>
      </c>
      <c r="I235" t="s">
        <v>21</v>
      </c>
      <c r="J235">
        <v>68</v>
      </c>
      <c r="K235">
        <v>2.72</v>
      </c>
      <c r="L235">
        <v>142.27000000000001</v>
      </c>
      <c r="M235" t="s">
        <v>24</v>
      </c>
      <c r="N235">
        <v>20.36</v>
      </c>
      <c r="O235">
        <v>18.670000000000002</v>
      </c>
      <c r="P235">
        <v>3</v>
      </c>
    </row>
    <row r="236" spans="1:16" x14ac:dyDescent="0.25">
      <c r="A236" t="s">
        <v>168</v>
      </c>
      <c r="B236" t="s">
        <v>163</v>
      </c>
      <c r="C236" t="s">
        <v>164</v>
      </c>
      <c r="D236">
        <v>2021</v>
      </c>
      <c r="E236" s="5">
        <f t="shared" si="3"/>
        <v>44197</v>
      </c>
      <c r="F236" t="s">
        <v>165</v>
      </c>
      <c r="G236" t="s">
        <v>28</v>
      </c>
      <c r="H236" t="s">
        <v>166</v>
      </c>
      <c r="I236" t="s">
        <v>167</v>
      </c>
      <c r="J236">
        <v>80</v>
      </c>
      <c r="K236">
        <v>7.92</v>
      </c>
      <c r="L236">
        <v>230.02</v>
      </c>
      <c r="M236" t="s">
        <v>24</v>
      </c>
      <c r="N236">
        <v>22.19</v>
      </c>
      <c r="O236">
        <v>74.11</v>
      </c>
      <c r="P236">
        <v>7</v>
      </c>
    </row>
    <row r="237" spans="1:16" x14ac:dyDescent="0.25">
      <c r="A237" t="s">
        <v>30</v>
      </c>
      <c r="B237" t="s">
        <v>31</v>
      </c>
      <c r="C237" t="s">
        <v>17</v>
      </c>
      <c r="D237">
        <v>2018</v>
      </c>
      <c r="E237" s="5">
        <f t="shared" si="3"/>
        <v>43101</v>
      </c>
      <c r="F237" t="s">
        <v>18</v>
      </c>
      <c r="G237" t="s">
        <v>25</v>
      </c>
      <c r="H237" t="s">
        <v>20</v>
      </c>
      <c r="I237" t="s">
        <v>21</v>
      </c>
      <c r="J237">
        <v>71</v>
      </c>
      <c r="K237">
        <v>58.16</v>
      </c>
      <c r="L237">
        <v>235.78</v>
      </c>
      <c r="M237" t="s">
        <v>22</v>
      </c>
      <c r="N237">
        <v>175.89</v>
      </c>
      <c r="O237">
        <v>193.06</v>
      </c>
      <c r="P237">
        <v>20</v>
      </c>
    </row>
    <row r="238" spans="1:16" x14ac:dyDescent="0.25">
      <c r="A238" t="s">
        <v>80</v>
      </c>
      <c r="B238" t="s">
        <v>81</v>
      </c>
      <c r="C238" t="s">
        <v>82</v>
      </c>
      <c r="D238">
        <v>2011</v>
      </c>
      <c r="E238" s="5">
        <f t="shared" si="3"/>
        <v>40544</v>
      </c>
      <c r="F238" t="s">
        <v>83</v>
      </c>
      <c r="G238" t="s">
        <v>37</v>
      </c>
      <c r="H238" t="s">
        <v>84</v>
      </c>
      <c r="I238" t="s">
        <v>85</v>
      </c>
      <c r="J238">
        <v>83</v>
      </c>
      <c r="K238">
        <v>70.739999999999995</v>
      </c>
      <c r="L238">
        <v>62.56</v>
      </c>
      <c r="M238" t="s">
        <v>24</v>
      </c>
      <c r="N238">
        <v>129.34</v>
      </c>
      <c r="O238">
        <v>553.84</v>
      </c>
      <c r="P238">
        <v>15</v>
      </c>
    </row>
    <row r="239" spans="1:16" x14ac:dyDescent="0.25">
      <c r="A239" t="s">
        <v>154</v>
      </c>
      <c r="B239" t="s">
        <v>155</v>
      </c>
      <c r="C239" t="s">
        <v>156</v>
      </c>
      <c r="D239">
        <v>2022</v>
      </c>
      <c r="E239" s="5">
        <f t="shared" si="3"/>
        <v>44562</v>
      </c>
      <c r="F239" t="s">
        <v>157</v>
      </c>
      <c r="G239" t="s">
        <v>27</v>
      </c>
      <c r="H239" t="s">
        <v>158</v>
      </c>
      <c r="I239" t="s">
        <v>21</v>
      </c>
      <c r="J239">
        <v>95</v>
      </c>
      <c r="K239">
        <v>64.31</v>
      </c>
      <c r="L239">
        <v>57.31</v>
      </c>
      <c r="M239" t="s">
        <v>22</v>
      </c>
      <c r="N239">
        <v>88.68</v>
      </c>
      <c r="O239">
        <v>401.17</v>
      </c>
      <c r="P239">
        <v>20</v>
      </c>
    </row>
    <row r="240" spans="1:16" x14ac:dyDescent="0.25">
      <c r="A240" t="s">
        <v>154</v>
      </c>
      <c r="B240" t="s">
        <v>155</v>
      </c>
      <c r="C240" t="s">
        <v>156</v>
      </c>
      <c r="D240">
        <v>2022</v>
      </c>
      <c r="E240" s="5">
        <f t="shared" si="3"/>
        <v>44562</v>
      </c>
      <c r="F240" t="s">
        <v>157</v>
      </c>
      <c r="G240" t="s">
        <v>28</v>
      </c>
      <c r="H240" t="s">
        <v>158</v>
      </c>
      <c r="I240" t="s">
        <v>21</v>
      </c>
      <c r="J240">
        <v>68</v>
      </c>
      <c r="K240">
        <v>219.49</v>
      </c>
      <c r="L240">
        <v>88.4</v>
      </c>
      <c r="M240" t="s">
        <v>24</v>
      </c>
      <c r="N240">
        <v>40.369999999999997</v>
      </c>
      <c r="O240">
        <v>399.5</v>
      </c>
      <c r="P240">
        <v>13</v>
      </c>
    </row>
    <row r="241" spans="1:16" x14ac:dyDescent="0.25">
      <c r="A241" t="s">
        <v>154</v>
      </c>
      <c r="B241" t="s">
        <v>155</v>
      </c>
      <c r="C241" t="s">
        <v>156</v>
      </c>
      <c r="D241">
        <v>2022</v>
      </c>
      <c r="E241" s="5">
        <f t="shared" si="3"/>
        <v>44562</v>
      </c>
      <c r="F241" t="s">
        <v>157</v>
      </c>
      <c r="G241" t="s">
        <v>28</v>
      </c>
      <c r="H241" t="s">
        <v>158</v>
      </c>
      <c r="I241" t="s">
        <v>21</v>
      </c>
      <c r="J241">
        <v>73</v>
      </c>
      <c r="K241">
        <v>190.91</v>
      </c>
      <c r="L241">
        <v>88.4</v>
      </c>
      <c r="M241" t="s">
        <v>24</v>
      </c>
      <c r="N241">
        <v>40.369999999999997</v>
      </c>
      <c r="O241">
        <v>397.39</v>
      </c>
      <c r="P241">
        <v>11</v>
      </c>
    </row>
    <row r="242" spans="1:16" x14ac:dyDescent="0.25">
      <c r="A242" t="s">
        <v>178</v>
      </c>
      <c r="B242" t="s">
        <v>179</v>
      </c>
      <c r="C242" t="s">
        <v>180</v>
      </c>
      <c r="D242">
        <v>2019</v>
      </c>
      <c r="E242" s="5">
        <f t="shared" si="3"/>
        <v>43466</v>
      </c>
      <c r="F242" t="s">
        <v>89</v>
      </c>
      <c r="G242" t="s">
        <v>37</v>
      </c>
      <c r="H242" t="s">
        <v>84</v>
      </c>
      <c r="I242" t="s">
        <v>167</v>
      </c>
      <c r="J242">
        <v>82</v>
      </c>
      <c r="K242">
        <v>6.74</v>
      </c>
      <c r="L242">
        <v>229.27</v>
      </c>
      <c r="M242" t="s">
        <v>24</v>
      </c>
      <c r="N242">
        <v>65.5</v>
      </c>
      <c r="O242">
        <v>46.73</v>
      </c>
      <c r="P242">
        <v>13</v>
      </c>
    </row>
    <row r="243" spans="1:16" x14ac:dyDescent="0.25">
      <c r="A243" t="s">
        <v>29</v>
      </c>
      <c r="B243" t="s">
        <v>16</v>
      </c>
      <c r="C243" t="s">
        <v>17</v>
      </c>
      <c r="D243">
        <v>2008</v>
      </c>
      <c r="E243" s="5">
        <f t="shared" si="3"/>
        <v>39448</v>
      </c>
      <c r="F243" t="s">
        <v>18</v>
      </c>
      <c r="G243" t="s">
        <v>28</v>
      </c>
      <c r="H243" t="s">
        <v>20</v>
      </c>
      <c r="I243" t="s">
        <v>21</v>
      </c>
      <c r="J243">
        <v>90</v>
      </c>
      <c r="K243">
        <v>6.05</v>
      </c>
      <c r="L243">
        <v>134</v>
      </c>
      <c r="M243" t="s">
        <v>22</v>
      </c>
      <c r="N243">
        <v>52.74</v>
      </c>
      <c r="O243">
        <v>34.119999999999997</v>
      </c>
      <c r="P243">
        <v>8</v>
      </c>
    </row>
    <row r="244" spans="1:16" x14ac:dyDescent="0.25">
      <c r="A244" t="s">
        <v>100</v>
      </c>
      <c r="B244" t="s">
        <v>41</v>
      </c>
      <c r="C244" t="s">
        <v>42</v>
      </c>
      <c r="D244">
        <v>2014</v>
      </c>
      <c r="E244" s="5">
        <f t="shared" si="3"/>
        <v>41640</v>
      </c>
      <c r="F244" t="s">
        <v>98</v>
      </c>
      <c r="G244" t="s">
        <v>27</v>
      </c>
      <c r="H244" t="s">
        <v>99</v>
      </c>
      <c r="I244" t="s">
        <v>21</v>
      </c>
      <c r="J244">
        <v>76</v>
      </c>
      <c r="K244">
        <v>22.56</v>
      </c>
      <c r="L244">
        <v>133.19999999999999</v>
      </c>
      <c r="M244" t="s">
        <v>22</v>
      </c>
      <c r="N244">
        <v>87.97</v>
      </c>
      <c r="O244">
        <v>165.23</v>
      </c>
      <c r="P244">
        <v>11</v>
      </c>
    </row>
    <row r="245" spans="1:16" x14ac:dyDescent="0.25">
      <c r="A245" t="s">
        <v>100</v>
      </c>
      <c r="B245" t="s">
        <v>41</v>
      </c>
      <c r="C245" t="s">
        <v>42</v>
      </c>
      <c r="D245">
        <v>2014</v>
      </c>
      <c r="E245" s="5">
        <f t="shared" si="3"/>
        <v>41640</v>
      </c>
      <c r="F245" t="s">
        <v>98</v>
      </c>
      <c r="G245" t="s">
        <v>23</v>
      </c>
      <c r="H245" t="s">
        <v>99</v>
      </c>
      <c r="I245" t="s">
        <v>21</v>
      </c>
      <c r="J245">
        <v>97</v>
      </c>
      <c r="K245">
        <v>9.2100000000000009</v>
      </c>
      <c r="L245">
        <v>61.1</v>
      </c>
      <c r="M245" t="s">
        <v>22</v>
      </c>
      <c r="N245">
        <v>84.25</v>
      </c>
      <c r="O245">
        <v>54.62</v>
      </c>
      <c r="P245">
        <v>6</v>
      </c>
    </row>
    <row r="246" spans="1:16" x14ac:dyDescent="0.25">
      <c r="A246" t="s">
        <v>29</v>
      </c>
      <c r="B246" t="s">
        <v>16</v>
      </c>
      <c r="C246" t="s">
        <v>17</v>
      </c>
      <c r="D246">
        <v>2008</v>
      </c>
      <c r="E246" s="5">
        <f t="shared" si="3"/>
        <v>39448</v>
      </c>
      <c r="F246" t="s">
        <v>18</v>
      </c>
      <c r="G246" t="s">
        <v>19</v>
      </c>
      <c r="H246" t="s">
        <v>20</v>
      </c>
      <c r="I246" t="s">
        <v>21</v>
      </c>
      <c r="J246">
        <v>65</v>
      </c>
      <c r="K246">
        <v>0.53</v>
      </c>
      <c r="L246">
        <v>57.75</v>
      </c>
      <c r="M246" t="s">
        <v>22</v>
      </c>
      <c r="N246">
        <v>61.43</v>
      </c>
      <c r="O246">
        <v>32.409999999999997</v>
      </c>
      <c r="P246">
        <v>8</v>
      </c>
    </row>
    <row r="247" spans="1:16" x14ac:dyDescent="0.25">
      <c r="A247" t="s">
        <v>44</v>
      </c>
      <c r="B247" t="s">
        <v>45</v>
      </c>
      <c r="C247" t="s">
        <v>42</v>
      </c>
      <c r="D247">
        <v>2018</v>
      </c>
      <c r="E247" s="5">
        <f t="shared" si="3"/>
        <v>43101</v>
      </c>
      <c r="F247" t="s">
        <v>35</v>
      </c>
      <c r="G247" t="s">
        <v>28</v>
      </c>
      <c r="H247" t="s">
        <v>43</v>
      </c>
      <c r="I247" t="s">
        <v>21</v>
      </c>
      <c r="J247">
        <v>71</v>
      </c>
      <c r="K247">
        <v>20.420000000000002</v>
      </c>
      <c r="L247">
        <v>70.36</v>
      </c>
      <c r="M247" t="s">
        <v>24</v>
      </c>
      <c r="N247">
        <v>53.71</v>
      </c>
      <c r="O247">
        <v>186.52</v>
      </c>
      <c r="P247">
        <v>13</v>
      </c>
    </row>
    <row r="248" spans="1:16" x14ac:dyDescent="0.25">
      <c r="A248" t="s">
        <v>147</v>
      </c>
      <c r="B248" t="s">
        <v>145</v>
      </c>
      <c r="C248" t="s">
        <v>145</v>
      </c>
      <c r="D248">
        <v>2012</v>
      </c>
      <c r="E248" s="5">
        <f t="shared" si="3"/>
        <v>40909</v>
      </c>
      <c r="F248" t="s">
        <v>35</v>
      </c>
      <c r="G248" t="s">
        <v>19</v>
      </c>
      <c r="H248" t="s">
        <v>76</v>
      </c>
      <c r="I248" t="s">
        <v>21</v>
      </c>
      <c r="J248">
        <v>96</v>
      </c>
      <c r="K248">
        <v>10.9</v>
      </c>
      <c r="L248">
        <v>246.89</v>
      </c>
      <c r="M248" t="s">
        <v>24</v>
      </c>
      <c r="N248">
        <v>110.34</v>
      </c>
      <c r="O248">
        <v>96.64</v>
      </c>
      <c r="P248">
        <v>2</v>
      </c>
    </row>
    <row r="249" spans="1:16" x14ac:dyDescent="0.25">
      <c r="A249" t="s">
        <v>46</v>
      </c>
      <c r="B249" t="s">
        <v>41</v>
      </c>
      <c r="C249" t="s">
        <v>42</v>
      </c>
      <c r="D249">
        <v>2017</v>
      </c>
      <c r="E249" s="5">
        <f t="shared" si="3"/>
        <v>42736</v>
      </c>
      <c r="F249" t="s">
        <v>35</v>
      </c>
      <c r="G249" t="s">
        <v>23</v>
      </c>
      <c r="H249" t="s">
        <v>43</v>
      </c>
      <c r="I249" t="s">
        <v>21</v>
      </c>
      <c r="J249">
        <v>63</v>
      </c>
      <c r="K249">
        <v>4.53</v>
      </c>
      <c r="L249">
        <v>249.82</v>
      </c>
      <c r="M249" t="s">
        <v>24</v>
      </c>
      <c r="N249">
        <v>168.03</v>
      </c>
      <c r="O249">
        <v>87.01</v>
      </c>
      <c r="P249">
        <v>8</v>
      </c>
    </row>
    <row r="250" spans="1:16" x14ac:dyDescent="0.25">
      <c r="A250" t="s">
        <v>108</v>
      </c>
      <c r="B250" t="s">
        <v>109</v>
      </c>
      <c r="C250" t="s">
        <v>110</v>
      </c>
      <c r="D250">
        <v>2011</v>
      </c>
      <c r="E250" s="5">
        <f t="shared" si="3"/>
        <v>40544</v>
      </c>
      <c r="F250" t="s">
        <v>18</v>
      </c>
      <c r="G250" t="s">
        <v>28</v>
      </c>
      <c r="H250" t="s">
        <v>76</v>
      </c>
      <c r="I250" t="s">
        <v>21</v>
      </c>
      <c r="J250">
        <v>71</v>
      </c>
      <c r="K250">
        <v>3.75</v>
      </c>
      <c r="L250">
        <v>27.05</v>
      </c>
      <c r="M250" t="s">
        <v>22</v>
      </c>
      <c r="N250">
        <v>36.36</v>
      </c>
      <c r="O250">
        <v>21.64</v>
      </c>
      <c r="P250">
        <v>15</v>
      </c>
    </row>
    <row r="251" spans="1:16" x14ac:dyDescent="0.25">
      <c r="A251" t="s">
        <v>154</v>
      </c>
      <c r="B251" t="s">
        <v>155</v>
      </c>
      <c r="C251" t="s">
        <v>156</v>
      </c>
      <c r="D251">
        <v>2022</v>
      </c>
      <c r="E251" s="5">
        <f t="shared" si="3"/>
        <v>44562</v>
      </c>
      <c r="F251" t="s">
        <v>157</v>
      </c>
      <c r="G251" t="s">
        <v>25</v>
      </c>
      <c r="H251" t="s">
        <v>158</v>
      </c>
      <c r="I251" t="s">
        <v>21</v>
      </c>
      <c r="J251">
        <v>85</v>
      </c>
      <c r="K251">
        <v>118.42</v>
      </c>
      <c r="L251">
        <v>39.53</v>
      </c>
      <c r="M251" t="s">
        <v>22</v>
      </c>
      <c r="N251">
        <v>99.03</v>
      </c>
      <c r="O251">
        <v>977.5</v>
      </c>
      <c r="P251">
        <v>11</v>
      </c>
    </row>
    <row r="252" spans="1:16" x14ac:dyDescent="0.25">
      <c r="A252" t="s">
        <v>200</v>
      </c>
      <c r="B252" t="s">
        <v>54</v>
      </c>
      <c r="C252" t="s">
        <v>55</v>
      </c>
      <c r="D252">
        <v>2011</v>
      </c>
      <c r="E252" s="5">
        <f t="shared" si="3"/>
        <v>40544</v>
      </c>
      <c r="F252" t="s">
        <v>35</v>
      </c>
      <c r="G252" t="s">
        <v>201</v>
      </c>
      <c r="H252" t="s">
        <v>56</v>
      </c>
      <c r="I252" t="s">
        <v>51</v>
      </c>
      <c r="J252">
        <v>98</v>
      </c>
      <c r="K252">
        <v>6.14</v>
      </c>
      <c r="L252">
        <v>127.32</v>
      </c>
      <c r="M252" t="s">
        <v>24</v>
      </c>
      <c r="N252">
        <v>197.72</v>
      </c>
      <c r="O252">
        <v>103.19</v>
      </c>
      <c r="P252">
        <v>13</v>
      </c>
    </row>
    <row r="253" spans="1:16" x14ac:dyDescent="0.25">
      <c r="A253" t="s">
        <v>150</v>
      </c>
      <c r="B253" t="s">
        <v>151</v>
      </c>
      <c r="C253" t="s">
        <v>151</v>
      </c>
      <c r="D253">
        <v>2014</v>
      </c>
      <c r="E253" s="5">
        <f t="shared" si="3"/>
        <v>41640</v>
      </c>
      <c r="F253" t="s">
        <v>152</v>
      </c>
      <c r="G253" t="s">
        <v>23</v>
      </c>
      <c r="H253" t="s">
        <v>153</v>
      </c>
      <c r="I253" t="s">
        <v>51</v>
      </c>
      <c r="J253">
        <v>84</v>
      </c>
      <c r="K253">
        <v>8.14</v>
      </c>
      <c r="L253">
        <v>95.85</v>
      </c>
      <c r="M253" t="s">
        <v>24</v>
      </c>
      <c r="N253">
        <v>121.49</v>
      </c>
      <c r="O253">
        <v>63.94</v>
      </c>
      <c r="P253">
        <v>15</v>
      </c>
    </row>
    <row r="254" spans="1:16" x14ac:dyDescent="0.25">
      <c r="A254" t="s">
        <v>61</v>
      </c>
      <c r="B254" t="s">
        <v>62</v>
      </c>
      <c r="C254" t="s">
        <v>63</v>
      </c>
      <c r="D254">
        <v>2017</v>
      </c>
      <c r="E254" s="5">
        <f t="shared" si="3"/>
        <v>42736</v>
      </c>
      <c r="F254" t="s">
        <v>18</v>
      </c>
      <c r="G254" t="s">
        <v>37</v>
      </c>
      <c r="H254" t="s">
        <v>64</v>
      </c>
      <c r="I254" t="s">
        <v>65</v>
      </c>
      <c r="J254">
        <v>92</v>
      </c>
      <c r="K254">
        <v>8.77</v>
      </c>
      <c r="L254">
        <v>216.29</v>
      </c>
      <c r="M254" t="s">
        <v>24</v>
      </c>
      <c r="N254">
        <v>195.36</v>
      </c>
      <c r="O254">
        <v>111.07</v>
      </c>
      <c r="P254">
        <v>12</v>
      </c>
    </row>
    <row r="255" spans="1:16" x14ac:dyDescent="0.25">
      <c r="A255" t="s">
        <v>100</v>
      </c>
      <c r="B255" t="s">
        <v>41</v>
      </c>
      <c r="C255" t="s">
        <v>42</v>
      </c>
      <c r="D255">
        <v>2014</v>
      </c>
      <c r="E255" s="5">
        <f t="shared" si="3"/>
        <v>41640</v>
      </c>
      <c r="F255" t="s">
        <v>98</v>
      </c>
      <c r="G255" t="s">
        <v>19</v>
      </c>
      <c r="H255" t="s">
        <v>99</v>
      </c>
      <c r="I255" t="s">
        <v>21</v>
      </c>
      <c r="J255">
        <v>80</v>
      </c>
      <c r="K255">
        <v>34.64</v>
      </c>
      <c r="L255">
        <v>85.74</v>
      </c>
      <c r="M255" t="s">
        <v>24</v>
      </c>
      <c r="N255">
        <v>176.66</v>
      </c>
      <c r="O255">
        <v>245.78</v>
      </c>
      <c r="P255">
        <v>9</v>
      </c>
    </row>
    <row r="256" spans="1:16" x14ac:dyDescent="0.25">
      <c r="A256" t="s">
        <v>46</v>
      </c>
      <c r="B256" t="s">
        <v>41</v>
      </c>
      <c r="C256" t="s">
        <v>42</v>
      </c>
      <c r="D256">
        <v>2017</v>
      </c>
      <c r="E256" s="5">
        <f t="shared" si="3"/>
        <v>42736</v>
      </c>
      <c r="F256" t="s">
        <v>35</v>
      </c>
      <c r="G256" t="s">
        <v>28</v>
      </c>
      <c r="H256" t="s">
        <v>43</v>
      </c>
      <c r="I256" t="s">
        <v>21</v>
      </c>
      <c r="J256">
        <v>83</v>
      </c>
      <c r="K256">
        <v>14.08</v>
      </c>
      <c r="L256">
        <v>196.23</v>
      </c>
      <c r="M256" t="s">
        <v>24</v>
      </c>
      <c r="N256">
        <v>93.73</v>
      </c>
      <c r="O256">
        <v>53.41</v>
      </c>
      <c r="P256">
        <v>17</v>
      </c>
    </row>
    <row r="257" spans="1:16" x14ac:dyDescent="0.25">
      <c r="A257" t="s">
        <v>168</v>
      </c>
      <c r="B257" t="s">
        <v>163</v>
      </c>
      <c r="C257" t="s">
        <v>164</v>
      </c>
      <c r="D257">
        <v>2021</v>
      </c>
      <c r="E257" s="5">
        <f t="shared" si="3"/>
        <v>44197</v>
      </c>
      <c r="F257" t="s">
        <v>165</v>
      </c>
      <c r="G257" t="s">
        <v>28</v>
      </c>
      <c r="H257" t="s">
        <v>166</v>
      </c>
      <c r="I257" t="s">
        <v>167</v>
      </c>
      <c r="J257">
        <v>82</v>
      </c>
      <c r="K257">
        <v>8.6999999999999993</v>
      </c>
      <c r="L257">
        <v>230.02</v>
      </c>
      <c r="M257" t="s">
        <v>24</v>
      </c>
      <c r="N257">
        <v>22.19</v>
      </c>
      <c r="O257">
        <v>73.400000000000006</v>
      </c>
      <c r="P257">
        <v>7</v>
      </c>
    </row>
    <row r="258" spans="1:16" x14ac:dyDescent="0.25">
      <c r="A258" t="s">
        <v>52</v>
      </c>
      <c r="B258" t="s">
        <v>48</v>
      </c>
      <c r="C258" t="s">
        <v>49</v>
      </c>
      <c r="D258">
        <v>2022</v>
      </c>
      <c r="E258" s="5">
        <f t="shared" si="3"/>
        <v>44562</v>
      </c>
      <c r="F258" t="s">
        <v>35</v>
      </c>
      <c r="G258" t="s">
        <v>25</v>
      </c>
      <c r="H258" t="s">
        <v>50</v>
      </c>
      <c r="I258" t="s">
        <v>51</v>
      </c>
      <c r="J258">
        <v>67</v>
      </c>
      <c r="K258">
        <v>11.23</v>
      </c>
      <c r="L258">
        <v>142.85</v>
      </c>
      <c r="M258" t="s">
        <v>24</v>
      </c>
      <c r="N258">
        <v>117.89</v>
      </c>
      <c r="O258">
        <v>64.41</v>
      </c>
      <c r="P258">
        <v>2</v>
      </c>
    </row>
    <row r="259" spans="1:16" x14ac:dyDescent="0.25">
      <c r="A259" t="s">
        <v>154</v>
      </c>
      <c r="B259" t="s">
        <v>155</v>
      </c>
      <c r="C259" t="s">
        <v>156</v>
      </c>
      <c r="D259">
        <v>2022</v>
      </c>
      <c r="E259" s="5">
        <f t="shared" ref="E259:E322" si="4">DATE(D259,1,1)</f>
        <v>44562</v>
      </c>
      <c r="F259" t="s">
        <v>157</v>
      </c>
      <c r="G259" t="s">
        <v>28</v>
      </c>
      <c r="H259" t="s">
        <v>158</v>
      </c>
      <c r="I259" t="s">
        <v>21</v>
      </c>
      <c r="J259">
        <v>70</v>
      </c>
      <c r="K259">
        <v>231.61</v>
      </c>
      <c r="L259">
        <v>88.4</v>
      </c>
      <c r="M259" t="s">
        <v>24</v>
      </c>
      <c r="N259">
        <v>40.369999999999997</v>
      </c>
      <c r="O259">
        <v>374.93</v>
      </c>
      <c r="P259">
        <v>14</v>
      </c>
    </row>
    <row r="260" spans="1:16" x14ac:dyDescent="0.25">
      <c r="A260" t="s">
        <v>100</v>
      </c>
      <c r="B260" t="s">
        <v>41</v>
      </c>
      <c r="C260" t="s">
        <v>42</v>
      </c>
      <c r="D260">
        <v>2014</v>
      </c>
      <c r="E260" s="5">
        <f t="shared" si="4"/>
        <v>41640</v>
      </c>
      <c r="F260" t="s">
        <v>98</v>
      </c>
      <c r="G260" t="s">
        <v>23</v>
      </c>
      <c r="H260" t="s">
        <v>99</v>
      </c>
      <c r="I260" t="s">
        <v>21</v>
      </c>
      <c r="J260">
        <v>100</v>
      </c>
      <c r="K260">
        <v>11.02</v>
      </c>
      <c r="L260">
        <v>61.1</v>
      </c>
      <c r="M260" t="s">
        <v>22</v>
      </c>
      <c r="N260">
        <v>84.25</v>
      </c>
      <c r="O260">
        <v>57.18</v>
      </c>
      <c r="P260">
        <v>6</v>
      </c>
    </row>
    <row r="261" spans="1:16" x14ac:dyDescent="0.25">
      <c r="A261" t="s">
        <v>74</v>
      </c>
      <c r="B261" t="s">
        <v>75</v>
      </c>
      <c r="C261" t="s">
        <v>49</v>
      </c>
      <c r="D261">
        <v>2019</v>
      </c>
      <c r="E261" s="5">
        <f t="shared" si="4"/>
        <v>43466</v>
      </c>
      <c r="F261" t="s">
        <v>18</v>
      </c>
      <c r="G261" t="s">
        <v>23</v>
      </c>
      <c r="H261" t="s">
        <v>76</v>
      </c>
      <c r="I261" t="s">
        <v>21</v>
      </c>
      <c r="J261">
        <v>100</v>
      </c>
      <c r="K261">
        <v>7.55</v>
      </c>
      <c r="L261">
        <v>43.25</v>
      </c>
      <c r="M261" t="s">
        <v>24</v>
      </c>
      <c r="N261">
        <v>21.54</v>
      </c>
      <c r="O261">
        <v>42.72</v>
      </c>
      <c r="P261">
        <v>20</v>
      </c>
    </row>
    <row r="262" spans="1:16" x14ac:dyDescent="0.25">
      <c r="A262" t="s">
        <v>111</v>
      </c>
      <c r="B262" t="s">
        <v>112</v>
      </c>
      <c r="C262" t="s">
        <v>113</v>
      </c>
      <c r="D262">
        <v>2016</v>
      </c>
      <c r="E262" s="5">
        <f t="shared" si="4"/>
        <v>42370</v>
      </c>
      <c r="F262" t="s">
        <v>18</v>
      </c>
      <c r="G262" t="s">
        <v>27</v>
      </c>
      <c r="H262" t="s">
        <v>76</v>
      </c>
      <c r="I262" t="s">
        <v>21</v>
      </c>
      <c r="J262">
        <v>77</v>
      </c>
      <c r="K262">
        <v>10.26</v>
      </c>
      <c r="L262">
        <v>206.41</v>
      </c>
      <c r="M262" t="s">
        <v>24</v>
      </c>
      <c r="N262">
        <v>5.22</v>
      </c>
      <c r="O262">
        <v>80.67</v>
      </c>
      <c r="P262">
        <v>14</v>
      </c>
    </row>
    <row r="263" spans="1:16" x14ac:dyDescent="0.25">
      <c r="A263" t="s">
        <v>53</v>
      </c>
      <c r="B263" t="s">
        <v>54</v>
      </c>
      <c r="C263" t="s">
        <v>55</v>
      </c>
      <c r="D263">
        <v>2011</v>
      </c>
      <c r="E263" s="5">
        <f t="shared" si="4"/>
        <v>40544</v>
      </c>
      <c r="F263" t="s">
        <v>35</v>
      </c>
      <c r="G263" t="s">
        <v>25</v>
      </c>
      <c r="H263" t="s">
        <v>56</v>
      </c>
      <c r="I263" t="s">
        <v>51</v>
      </c>
      <c r="J263">
        <v>77</v>
      </c>
      <c r="K263">
        <v>5.99</v>
      </c>
      <c r="L263">
        <v>141.19</v>
      </c>
      <c r="M263" t="s">
        <v>24</v>
      </c>
      <c r="N263">
        <v>24.5</v>
      </c>
      <c r="O263">
        <v>43.31</v>
      </c>
      <c r="P263">
        <v>16</v>
      </c>
    </row>
    <row r="264" spans="1:16" x14ac:dyDescent="0.25">
      <c r="A264" t="s">
        <v>74</v>
      </c>
      <c r="B264" t="s">
        <v>75</v>
      </c>
      <c r="C264" t="s">
        <v>49</v>
      </c>
      <c r="D264">
        <v>2019</v>
      </c>
      <c r="E264" s="5">
        <f t="shared" si="4"/>
        <v>43466</v>
      </c>
      <c r="F264" t="s">
        <v>18</v>
      </c>
      <c r="G264" t="s">
        <v>28</v>
      </c>
      <c r="H264" t="s">
        <v>76</v>
      </c>
      <c r="I264" t="s">
        <v>21</v>
      </c>
      <c r="J264">
        <v>88</v>
      </c>
      <c r="K264">
        <v>9.43</v>
      </c>
      <c r="L264">
        <v>59.48</v>
      </c>
      <c r="M264" t="s">
        <v>24</v>
      </c>
      <c r="N264">
        <v>65.53</v>
      </c>
      <c r="O264">
        <v>83.35</v>
      </c>
      <c r="P264">
        <v>5</v>
      </c>
    </row>
    <row r="265" spans="1:16" x14ac:dyDescent="0.25">
      <c r="A265" t="s">
        <v>95</v>
      </c>
      <c r="B265" t="s">
        <v>96</v>
      </c>
      <c r="C265" t="s">
        <v>42</v>
      </c>
      <c r="D265">
        <v>2020</v>
      </c>
      <c r="E265" s="5">
        <f t="shared" si="4"/>
        <v>43831</v>
      </c>
      <c r="F265" t="s">
        <v>18</v>
      </c>
      <c r="G265" t="s">
        <v>27</v>
      </c>
      <c r="H265" t="s">
        <v>94</v>
      </c>
      <c r="I265" t="s">
        <v>21</v>
      </c>
      <c r="J265">
        <v>88</v>
      </c>
      <c r="K265">
        <v>7.46</v>
      </c>
      <c r="L265">
        <v>26.37</v>
      </c>
      <c r="M265" t="s">
        <v>22</v>
      </c>
      <c r="N265">
        <v>155.63</v>
      </c>
      <c r="O265">
        <v>73.63</v>
      </c>
      <c r="P265">
        <v>20</v>
      </c>
    </row>
    <row r="266" spans="1:16" x14ac:dyDescent="0.25">
      <c r="A266" t="s">
        <v>154</v>
      </c>
      <c r="B266" t="s">
        <v>155</v>
      </c>
      <c r="C266" t="s">
        <v>156</v>
      </c>
      <c r="D266">
        <v>2022</v>
      </c>
      <c r="E266" s="5">
        <f t="shared" si="4"/>
        <v>44562</v>
      </c>
      <c r="F266" t="s">
        <v>157</v>
      </c>
      <c r="G266" t="s">
        <v>39</v>
      </c>
      <c r="H266" t="s">
        <v>158</v>
      </c>
      <c r="I266" t="s">
        <v>21</v>
      </c>
      <c r="J266">
        <v>84</v>
      </c>
      <c r="K266">
        <v>17.649999999999999</v>
      </c>
      <c r="L266">
        <v>232.34</v>
      </c>
      <c r="M266" t="s">
        <v>22</v>
      </c>
      <c r="N266">
        <v>166.74</v>
      </c>
      <c r="O266">
        <v>76.06</v>
      </c>
      <c r="P266">
        <v>4</v>
      </c>
    </row>
    <row r="267" spans="1:16" x14ac:dyDescent="0.25">
      <c r="A267" t="s">
        <v>53</v>
      </c>
      <c r="B267" t="s">
        <v>54</v>
      </c>
      <c r="C267" t="s">
        <v>55</v>
      </c>
      <c r="D267">
        <v>2011</v>
      </c>
      <c r="E267" s="5">
        <f t="shared" si="4"/>
        <v>40544</v>
      </c>
      <c r="F267" t="s">
        <v>35</v>
      </c>
      <c r="G267" t="s">
        <v>26</v>
      </c>
      <c r="H267" t="s">
        <v>56</v>
      </c>
      <c r="I267" t="s">
        <v>51</v>
      </c>
      <c r="J267">
        <v>68</v>
      </c>
      <c r="K267">
        <v>11.06</v>
      </c>
      <c r="L267">
        <v>220.34</v>
      </c>
      <c r="M267" t="s">
        <v>24</v>
      </c>
      <c r="N267">
        <v>176.46</v>
      </c>
      <c r="O267">
        <v>99.82</v>
      </c>
      <c r="P267">
        <v>5</v>
      </c>
    </row>
    <row r="268" spans="1:16" x14ac:dyDescent="0.25">
      <c r="A268" t="s">
        <v>103</v>
      </c>
      <c r="B268" t="s">
        <v>104</v>
      </c>
      <c r="C268" t="s">
        <v>105</v>
      </c>
      <c r="D268">
        <v>2015</v>
      </c>
      <c r="E268" s="5">
        <f t="shared" si="4"/>
        <v>42005</v>
      </c>
      <c r="F268" t="s">
        <v>18</v>
      </c>
      <c r="G268" t="s">
        <v>28</v>
      </c>
      <c r="H268" t="s">
        <v>106</v>
      </c>
      <c r="I268" t="s">
        <v>21</v>
      </c>
      <c r="J268">
        <v>90</v>
      </c>
      <c r="K268">
        <v>10.01</v>
      </c>
      <c r="L268">
        <v>106.86</v>
      </c>
      <c r="M268" t="s">
        <v>24</v>
      </c>
      <c r="N268">
        <v>111.19</v>
      </c>
      <c r="O268">
        <v>69.23</v>
      </c>
      <c r="P268">
        <v>7</v>
      </c>
    </row>
    <row r="269" spans="1:16" x14ac:dyDescent="0.25">
      <c r="A269" t="s">
        <v>46</v>
      </c>
      <c r="B269" t="s">
        <v>41</v>
      </c>
      <c r="C269" t="s">
        <v>42</v>
      </c>
      <c r="D269">
        <v>2017</v>
      </c>
      <c r="E269" s="5">
        <f t="shared" si="4"/>
        <v>42736</v>
      </c>
      <c r="F269" t="s">
        <v>35</v>
      </c>
      <c r="G269" t="s">
        <v>28</v>
      </c>
      <c r="H269" t="s">
        <v>43</v>
      </c>
      <c r="I269" t="s">
        <v>21</v>
      </c>
      <c r="J269">
        <v>85</v>
      </c>
      <c r="K269">
        <v>14.98</v>
      </c>
      <c r="L269">
        <v>196.23</v>
      </c>
      <c r="M269" t="s">
        <v>24</v>
      </c>
      <c r="N269">
        <v>93.73</v>
      </c>
      <c r="O269">
        <v>58.35</v>
      </c>
      <c r="P269">
        <v>17</v>
      </c>
    </row>
    <row r="270" spans="1:16" x14ac:dyDescent="0.25">
      <c r="A270" t="s">
        <v>46</v>
      </c>
      <c r="B270" t="s">
        <v>41</v>
      </c>
      <c r="C270" t="s">
        <v>42</v>
      </c>
      <c r="D270">
        <v>2017</v>
      </c>
      <c r="E270" s="5">
        <f t="shared" si="4"/>
        <v>42736</v>
      </c>
      <c r="F270" t="s">
        <v>35</v>
      </c>
      <c r="G270" t="s">
        <v>23</v>
      </c>
      <c r="H270" t="s">
        <v>43</v>
      </c>
      <c r="I270" t="s">
        <v>21</v>
      </c>
      <c r="J270">
        <v>61</v>
      </c>
      <c r="K270">
        <v>5.17</v>
      </c>
      <c r="L270">
        <v>249.82</v>
      </c>
      <c r="M270" t="s">
        <v>24</v>
      </c>
      <c r="N270">
        <v>168.03</v>
      </c>
      <c r="O270">
        <v>96.19</v>
      </c>
      <c r="P270">
        <v>8</v>
      </c>
    </row>
    <row r="271" spans="1:16" x14ac:dyDescent="0.25">
      <c r="A271" t="s">
        <v>144</v>
      </c>
      <c r="B271" t="s">
        <v>145</v>
      </c>
      <c r="C271" t="s">
        <v>145</v>
      </c>
      <c r="D271">
        <v>2018</v>
      </c>
      <c r="E271" s="5">
        <f t="shared" si="4"/>
        <v>43101</v>
      </c>
      <c r="F271" t="s">
        <v>35</v>
      </c>
      <c r="G271" t="s">
        <v>27</v>
      </c>
      <c r="H271" t="s">
        <v>146</v>
      </c>
      <c r="I271" t="s">
        <v>51</v>
      </c>
      <c r="J271">
        <v>67</v>
      </c>
      <c r="K271">
        <v>8.33</v>
      </c>
      <c r="L271">
        <v>52.1</v>
      </c>
      <c r="M271" t="s">
        <v>24</v>
      </c>
      <c r="N271">
        <v>166.81</v>
      </c>
      <c r="O271">
        <v>78.09</v>
      </c>
      <c r="P271">
        <v>17</v>
      </c>
    </row>
    <row r="272" spans="1:16" x14ac:dyDescent="0.25">
      <c r="A272" t="s">
        <v>46</v>
      </c>
      <c r="B272" t="s">
        <v>41</v>
      </c>
      <c r="C272" t="s">
        <v>42</v>
      </c>
      <c r="D272">
        <v>2017</v>
      </c>
      <c r="E272" s="5">
        <f t="shared" si="4"/>
        <v>42736</v>
      </c>
      <c r="F272" t="s">
        <v>35</v>
      </c>
      <c r="G272" t="s">
        <v>23</v>
      </c>
      <c r="H272" t="s">
        <v>43</v>
      </c>
      <c r="I272" t="s">
        <v>21</v>
      </c>
      <c r="J272">
        <v>63</v>
      </c>
      <c r="K272">
        <v>4.3499999999999996</v>
      </c>
      <c r="L272">
        <v>249.82</v>
      </c>
      <c r="M272" t="s">
        <v>24</v>
      </c>
      <c r="N272">
        <v>168.03</v>
      </c>
      <c r="O272">
        <v>94.14</v>
      </c>
      <c r="P272">
        <v>8</v>
      </c>
    </row>
    <row r="273" spans="1:16" x14ac:dyDescent="0.25">
      <c r="A273" t="s">
        <v>150</v>
      </c>
      <c r="B273" t="s">
        <v>151</v>
      </c>
      <c r="C273" t="s">
        <v>151</v>
      </c>
      <c r="D273">
        <v>2014</v>
      </c>
      <c r="E273" s="5">
        <f t="shared" si="4"/>
        <v>41640</v>
      </c>
      <c r="F273" t="s">
        <v>152</v>
      </c>
      <c r="G273" t="s">
        <v>23</v>
      </c>
      <c r="H273" t="s">
        <v>153</v>
      </c>
      <c r="I273" t="s">
        <v>51</v>
      </c>
      <c r="J273">
        <v>88</v>
      </c>
      <c r="K273">
        <v>8.5500000000000007</v>
      </c>
      <c r="L273">
        <v>95.85</v>
      </c>
      <c r="M273" t="s">
        <v>24</v>
      </c>
      <c r="N273">
        <v>121.49</v>
      </c>
      <c r="O273">
        <v>60.96</v>
      </c>
      <c r="P273">
        <v>16</v>
      </c>
    </row>
    <row r="274" spans="1:16" x14ac:dyDescent="0.25">
      <c r="A274" t="s">
        <v>77</v>
      </c>
      <c r="B274" t="s">
        <v>78</v>
      </c>
      <c r="C274" t="s">
        <v>49</v>
      </c>
      <c r="D274">
        <v>2019</v>
      </c>
      <c r="E274" s="5">
        <f t="shared" si="4"/>
        <v>43466</v>
      </c>
      <c r="F274" t="s">
        <v>18</v>
      </c>
      <c r="G274" t="s">
        <v>25</v>
      </c>
      <c r="H274" t="s">
        <v>79</v>
      </c>
      <c r="I274" t="s">
        <v>21</v>
      </c>
      <c r="J274">
        <v>81</v>
      </c>
      <c r="K274">
        <v>5.05</v>
      </c>
      <c r="L274">
        <v>61.75</v>
      </c>
      <c r="M274" t="s">
        <v>24</v>
      </c>
      <c r="N274">
        <v>132.93</v>
      </c>
      <c r="O274">
        <v>71.02</v>
      </c>
      <c r="P274">
        <v>3</v>
      </c>
    </row>
    <row r="275" spans="1:16" x14ac:dyDescent="0.25">
      <c r="A275" t="s">
        <v>117</v>
      </c>
      <c r="B275" t="s">
        <v>118</v>
      </c>
      <c r="C275" t="s">
        <v>119</v>
      </c>
      <c r="D275">
        <v>2015</v>
      </c>
      <c r="E275" s="5">
        <f t="shared" si="4"/>
        <v>42005</v>
      </c>
      <c r="F275" t="s">
        <v>18</v>
      </c>
      <c r="G275" t="s">
        <v>23</v>
      </c>
      <c r="H275" t="s">
        <v>120</v>
      </c>
      <c r="I275" t="s">
        <v>21</v>
      </c>
      <c r="J275">
        <v>73</v>
      </c>
      <c r="K275">
        <v>5.21</v>
      </c>
      <c r="L275">
        <v>136.31</v>
      </c>
      <c r="M275" t="s">
        <v>22</v>
      </c>
      <c r="N275">
        <v>93.79</v>
      </c>
      <c r="O275">
        <v>48.54</v>
      </c>
      <c r="P275">
        <v>5</v>
      </c>
    </row>
    <row r="276" spans="1:16" x14ac:dyDescent="0.25">
      <c r="A276" t="s">
        <v>58</v>
      </c>
      <c r="B276" t="s">
        <v>59</v>
      </c>
      <c r="C276" t="s">
        <v>55</v>
      </c>
      <c r="D276">
        <v>2010</v>
      </c>
      <c r="E276" s="5">
        <f t="shared" si="4"/>
        <v>40179</v>
      </c>
      <c r="F276" t="s">
        <v>35</v>
      </c>
      <c r="G276" t="s">
        <v>26</v>
      </c>
      <c r="H276" t="s">
        <v>60</v>
      </c>
      <c r="I276" t="s">
        <v>21</v>
      </c>
      <c r="J276">
        <v>78</v>
      </c>
      <c r="K276">
        <v>8.8800000000000008</v>
      </c>
      <c r="L276">
        <v>199.23</v>
      </c>
      <c r="M276" t="s">
        <v>24</v>
      </c>
      <c r="N276">
        <v>172.84</v>
      </c>
      <c r="O276">
        <v>87.74</v>
      </c>
      <c r="P276">
        <v>7</v>
      </c>
    </row>
    <row r="277" spans="1:16" x14ac:dyDescent="0.25">
      <c r="A277" t="s">
        <v>192</v>
      </c>
      <c r="B277" t="s">
        <v>193</v>
      </c>
      <c r="C277" t="s">
        <v>194</v>
      </c>
      <c r="D277">
        <v>2021</v>
      </c>
      <c r="E277" s="5">
        <f t="shared" si="4"/>
        <v>44197</v>
      </c>
      <c r="F277" t="s">
        <v>35</v>
      </c>
      <c r="G277" t="s">
        <v>27</v>
      </c>
      <c r="H277" t="s">
        <v>92</v>
      </c>
      <c r="I277" t="s">
        <v>51</v>
      </c>
      <c r="J277">
        <v>91</v>
      </c>
      <c r="K277">
        <v>1.28</v>
      </c>
      <c r="L277">
        <v>178.96</v>
      </c>
      <c r="M277" t="s">
        <v>24</v>
      </c>
      <c r="N277">
        <v>70.38</v>
      </c>
      <c r="O277">
        <v>41.2</v>
      </c>
      <c r="P277">
        <v>1</v>
      </c>
    </row>
    <row r="278" spans="1:16" x14ac:dyDescent="0.25">
      <c r="A278" t="s">
        <v>148</v>
      </c>
      <c r="B278" t="s">
        <v>145</v>
      </c>
      <c r="C278" t="s">
        <v>145</v>
      </c>
      <c r="D278">
        <v>2024</v>
      </c>
      <c r="E278" s="5">
        <f t="shared" si="4"/>
        <v>45292</v>
      </c>
      <c r="F278" t="s">
        <v>35</v>
      </c>
      <c r="G278" t="s">
        <v>39</v>
      </c>
      <c r="H278" t="s">
        <v>149</v>
      </c>
      <c r="I278" t="s">
        <v>21</v>
      </c>
      <c r="J278">
        <v>81</v>
      </c>
      <c r="K278">
        <v>8.86</v>
      </c>
      <c r="L278">
        <v>216.88</v>
      </c>
      <c r="M278" t="s">
        <v>24</v>
      </c>
      <c r="N278">
        <v>106.68</v>
      </c>
      <c r="O278">
        <v>55.98</v>
      </c>
      <c r="P278">
        <v>1</v>
      </c>
    </row>
    <row r="279" spans="1:16" x14ac:dyDescent="0.25">
      <c r="A279" t="s">
        <v>154</v>
      </c>
      <c r="B279" t="s">
        <v>155</v>
      </c>
      <c r="C279" t="s">
        <v>156</v>
      </c>
      <c r="D279">
        <v>2022</v>
      </c>
      <c r="E279" s="5">
        <f t="shared" si="4"/>
        <v>44562</v>
      </c>
      <c r="F279" t="s">
        <v>157</v>
      </c>
      <c r="G279" t="s">
        <v>28</v>
      </c>
      <c r="H279" t="s">
        <v>158</v>
      </c>
      <c r="I279" t="s">
        <v>21</v>
      </c>
      <c r="J279">
        <v>73</v>
      </c>
      <c r="K279">
        <v>222.17</v>
      </c>
      <c r="L279">
        <v>88.4</v>
      </c>
      <c r="M279" t="s">
        <v>24</v>
      </c>
      <c r="N279">
        <v>40.369999999999997</v>
      </c>
      <c r="O279">
        <v>416.95</v>
      </c>
      <c r="P279">
        <v>10</v>
      </c>
    </row>
    <row r="280" spans="1:16" x14ac:dyDescent="0.25">
      <c r="A280" t="s">
        <v>181</v>
      </c>
      <c r="B280" t="s">
        <v>62</v>
      </c>
      <c r="C280" t="s">
        <v>63</v>
      </c>
      <c r="D280">
        <v>2017</v>
      </c>
      <c r="E280" s="5">
        <f t="shared" si="4"/>
        <v>42736</v>
      </c>
      <c r="F280" t="s">
        <v>18</v>
      </c>
      <c r="G280" t="s">
        <v>66</v>
      </c>
      <c r="H280" t="s">
        <v>64</v>
      </c>
      <c r="I280" t="s">
        <v>65</v>
      </c>
      <c r="J280">
        <v>95</v>
      </c>
      <c r="K280">
        <v>9.83</v>
      </c>
      <c r="L280">
        <v>249.29</v>
      </c>
      <c r="M280" t="s">
        <v>22</v>
      </c>
      <c r="N280">
        <v>182.93</v>
      </c>
      <c r="O280">
        <v>88.93</v>
      </c>
      <c r="P280">
        <v>14</v>
      </c>
    </row>
    <row r="281" spans="1:16" x14ac:dyDescent="0.25">
      <c r="A281" t="s">
        <v>162</v>
      </c>
      <c r="B281" t="s">
        <v>163</v>
      </c>
      <c r="C281" t="s">
        <v>164</v>
      </c>
      <c r="D281">
        <v>2018</v>
      </c>
      <c r="E281" s="5">
        <f t="shared" si="4"/>
        <v>43101</v>
      </c>
      <c r="F281" t="s">
        <v>165</v>
      </c>
      <c r="G281" t="s">
        <v>27</v>
      </c>
      <c r="H281" t="s">
        <v>166</v>
      </c>
      <c r="I281" t="s">
        <v>167</v>
      </c>
      <c r="J281">
        <v>79</v>
      </c>
      <c r="K281">
        <v>2.1800000000000002</v>
      </c>
      <c r="L281">
        <v>140.12</v>
      </c>
      <c r="M281" t="s">
        <v>24</v>
      </c>
      <c r="N281">
        <v>135.27000000000001</v>
      </c>
      <c r="O281">
        <v>70.92</v>
      </c>
      <c r="P281">
        <v>13</v>
      </c>
    </row>
    <row r="282" spans="1:16" x14ac:dyDescent="0.25">
      <c r="A282" t="s">
        <v>178</v>
      </c>
      <c r="B282" t="s">
        <v>179</v>
      </c>
      <c r="C282" t="s">
        <v>180</v>
      </c>
      <c r="D282">
        <v>2019</v>
      </c>
      <c r="E282" s="5">
        <f t="shared" si="4"/>
        <v>43466</v>
      </c>
      <c r="F282" t="s">
        <v>89</v>
      </c>
      <c r="G282" t="s">
        <v>37</v>
      </c>
      <c r="H282" t="s">
        <v>84</v>
      </c>
      <c r="I282" t="s">
        <v>167</v>
      </c>
      <c r="J282">
        <v>81</v>
      </c>
      <c r="K282">
        <v>7.15</v>
      </c>
      <c r="L282">
        <v>229.27</v>
      </c>
      <c r="M282" t="s">
        <v>24</v>
      </c>
      <c r="N282">
        <v>65.5</v>
      </c>
      <c r="O282">
        <v>53.93</v>
      </c>
      <c r="P282">
        <v>13</v>
      </c>
    </row>
    <row r="283" spans="1:16" x14ac:dyDescent="0.25">
      <c r="A283" t="s">
        <v>80</v>
      </c>
      <c r="B283" t="s">
        <v>81</v>
      </c>
      <c r="C283" t="s">
        <v>82</v>
      </c>
      <c r="D283">
        <v>2011</v>
      </c>
      <c r="E283" s="5">
        <f t="shared" si="4"/>
        <v>40544</v>
      </c>
      <c r="F283" t="s">
        <v>83</v>
      </c>
      <c r="G283" t="s">
        <v>23</v>
      </c>
      <c r="H283" t="s">
        <v>84</v>
      </c>
      <c r="I283" t="s">
        <v>85</v>
      </c>
      <c r="J283">
        <v>82</v>
      </c>
      <c r="K283">
        <v>153.02000000000001</v>
      </c>
      <c r="L283">
        <v>246.99</v>
      </c>
      <c r="M283" t="s">
        <v>24</v>
      </c>
      <c r="N283">
        <v>121.11</v>
      </c>
      <c r="O283">
        <v>1475.66</v>
      </c>
      <c r="P283">
        <v>14</v>
      </c>
    </row>
    <row r="284" spans="1:16" x14ac:dyDescent="0.25">
      <c r="A284" t="s">
        <v>40</v>
      </c>
      <c r="B284" t="s">
        <v>41</v>
      </c>
      <c r="C284" t="s">
        <v>42</v>
      </c>
      <c r="D284">
        <v>2020</v>
      </c>
      <c r="E284" s="5">
        <f t="shared" si="4"/>
        <v>43831</v>
      </c>
      <c r="F284" t="s">
        <v>35</v>
      </c>
      <c r="G284" t="s">
        <v>23</v>
      </c>
      <c r="H284" t="s">
        <v>43</v>
      </c>
      <c r="I284" t="s">
        <v>21</v>
      </c>
      <c r="J284">
        <v>82</v>
      </c>
      <c r="K284">
        <v>24.44</v>
      </c>
      <c r="L284">
        <v>110.09</v>
      </c>
      <c r="M284" t="s">
        <v>24</v>
      </c>
      <c r="N284">
        <v>105.93</v>
      </c>
      <c r="O284">
        <v>59.6</v>
      </c>
      <c r="P284">
        <v>7</v>
      </c>
    </row>
    <row r="285" spans="1:16" x14ac:dyDescent="0.25">
      <c r="A285" t="s">
        <v>137</v>
      </c>
      <c r="B285" t="s">
        <v>138</v>
      </c>
      <c r="C285" t="s">
        <v>125</v>
      </c>
      <c r="D285">
        <v>2019</v>
      </c>
      <c r="E285" s="5">
        <f t="shared" si="4"/>
        <v>43466</v>
      </c>
      <c r="F285" t="s">
        <v>139</v>
      </c>
      <c r="G285" t="s">
        <v>25</v>
      </c>
      <c r="H285" t="s">
        <v>140</v>
      </c>
      <c r="I285" t="s">
        <v>21</v>
      </c>
      <c r="J285">
        <v>58</v>
      </c>
      <c r="K285">
        <v>6.33</v>
      </c>
      <c r="L285">
        <v>235.85</v>
      </c>
      <c r="M285" t="s">
        <v>22</v>
      </c>
      <c r="N285">
        <v>68.959999999999994</v>
      </c>
      <c r="O285">
        <v>41.86</v>
      </c>
      <c r="P285">
        <v>21</v>
      </c>
    </row>
    <row r="286" spans="1:16" x14ac:dyDescent="0.25">
      <c r="A286" t="s">
        <v>133</v>
      </c>
      <c r="B286" t="s">
        <v>54</v>
      </c>
      <c r="C286" t="s">
        <v>55</v>
      </c>
      <c r="D286">
        <v>2016</v>
      </c>
      <c r="E286" s="5">
        <f t="shared" si="4"/>
        <v>42370</v>
      </c>
      <c r="F286" t="s">
        <v>35</v>
      </c>
      <c r="G286" t="s">
        <v>37</v>
      </c>
      <c r="H286" t="s">
        <v>56</v>
      </c>
      <c r="I286" t="s">
        <v>51</v>
      </c>
      <c r="J286">
        <v>93</v>
      </c>
      <c r="K286">
        <v>9.8800000000000008</v>
      </c>
      <c r="L286">
        <v>120.98</v>
      </c>
      <c r="M286" t="s">
        <v>24</v>
      </c>
      <c r="N286">
        <v>162.27000000000001</v>
      </c>
      <c r="O286">
        <v>89.59</v>
      </c>
      <c r="P286">
        <v>9</v>
      </c>
    </row>
    <row r="287" spans="1:16" x14ac:dyDescent="0.25">
      <c r="A287" t="s">
        <v>77</v>
      </c>
      <c r="B287" t="s">
        <v>78</v>
      </c>
      <c r="C287" t="s">
        <v>49</v>
      </c>
      <c r="D287">
        <v>2019</v>
      </c>
      <c r="E287" s="5">
        <f t="shared" si="4"/>
        <v>43466</v>
      </c>
      <c r="F287" t="s">
        <v>18</v>
      </c>
      <c r="G287" t="s">
        <v>23</v>
      </c>
      <c r="H287" t="s">
        <v>79</v>
      </c>
      <c r="I287" t="s">
        <v>21</v>
      </c>
      <c r="J287">
        <v>75</v>
      </c>
      <c r="K287">
        <v>6.26</v>
      </c>
      <c r="L287">
        <v>192.35</v>
      </c>
      <c r="M287" t="s">
        <v>22</v>
      </c>
      <c r="N287">
        <v>93.81</v>
      </c>
      <c r="O287">
        <v>62.84</v>
      </c>
      <c r="P287">
        <v>18</v>
      </c>
    </row>
    <row r="288" spans="1:16" x14ac:dyDescent="0.25">
      <c r="A288" t="s">
        <v>77</v>
      </c>
      <c r="B288" t="s">
        <v>78</v>
      </c>
      <c r="C288" t="s">
        <v>49</v>
      </c>
      <c r="D288">
        <v>2019</v>
      </c>
      <c r="E288" s="5">
        <f t="shared" si="4"/>
        <v>43466</v>
      </c>
      <c r="F288" t="s">
        <v>18</v>
      </c>
      <c r="G288" t="s">
        <v>23</v>
      </c>
      <c r="H288" t="s">
        <v>79</v>
      </c>
      <c r="I288" t="s">
        <v>21</v>
      </c>
      <c r="J288">
        <v>74</v>
      </c>
      <c r="K288">
        <v>7.05</v>
      </c>
      <c r="L288">
        <v>192.35</v>
      </c>
      <c r="M288" t="s">
        <v>22</v>
      </c>
      <c r="N288">
        <v>93.81</v>
      </c>
      <c r="O288">
        <v>60.31</v>
      </c>
      <c r="P288">
        <v>19</v>
      </c>
    </row>
    <row r="289" spans="1:16" x14ac:dyDescent="0.25">
      <c r="A289" t="s">
        <v>183</v>
      </c>
      <c r="B289" t="s">
        <v>184</v>
      </c>
      <c r="C289" t="s">
        <v>125</v>
      </c>
      <c r="D289">
        <v>2018</v>
      </c>
      <c r="E289" s="5">
        <f t="shared" si="4"/>
        <v>43101</v>
      </c>
      <c r="F289" t="s">
        <v>35</v>
      </c>
      <c r="G289" t="s">
        <v>28</v>
      </c>
      <c r="H289" t="s">
        <v>185</v>
      </c>
      <c r="I289" t="s">
        <v>21</v>
      </c>
      <c r="J289">
        <v>93</v>
      </c>
      <c r="K289">
        <v>6.35</v>
      </c>
      <c r="L289">
        <v>156.56</v>
      </c>
      <c r="M289" t="s">
        <v>24</v>
      </c>
      <c r="N289">
        <v>181.02</v>
      </c>
      <c r="O289">
        <v>82.52</v>
      </c>
      <c r="P289">
        <v>2</v>
      </c>
    </row>
    <row r="290" spans="1:16" x14ac:dyDescent="0.25">
      <c r="A290" t="s">
        <v>154</v>
      </c>
      <c r="B290" t="s">
        <v>155</v>
      </c>
      <c r="C290" t="s">
        <v>156</v>
      </c>
      <c r="D290">
        <v>2022</v>
      </c>
      <c r="E290" s="5">
        <f t="shared" si="4"/>
        <v>44562</v>
      </c>
      <c r="F290" t="s">
        <v>157</v>
      </c>
      <c r="G290" t="s">
        <v>25</v>
      </c>
      <c r="H290" t="s">
        <v>158</v>
      </c>
      <c r="I290" t="s">
        <v>21</v>
      </c>
      <c r="J290">
        <v>89</v>
      </c>
      <c r="K290">
        <v>110.89</v>
      </c>
      <c r="L290">
        <v>39.53</v>
      </c>
      <c r="M290" t="s">
        <v>22</v>
      </c>
      <c r="N290">
        <v>99.03</v>
      </c>
      <c r="O290">
        <v>951.89</v>
      </c>
      <c r="P290">
        <v>12</v>
      </c>
    </row>
    <row r="291" spans="1:16" x14ac:dyDescent="0.25">
      <c r="A291" t="s">
        <v>95</v>
      </c>
      <c r="B291" t="s">
        <v>96</v>
      </c>
      <c r="C291" t="s">
        <v>42</v>
      </c>
      <c r="D291">
        <v>2020</v>
      </c>
      <c r="E291" s="5">
        <f t="shared" si="4"/>
        <v>43831</v>
      </c>
      <c r="F291" t="s">
        <v>18</v>
      </c>
      <c r="G291" t="s">
        <v>27</v>
      </c>
      <c r="H291" t="s">
        <v>94</v>
      </c>
      <c r="I291" t="s">
        <v>21</v>
      </c>
      <c r="J291">
        <v>86</v>
      </c>
      <c r="K291">
        <v>7.45</v>
      </c>
      <c r="L291">
        <v>26.37</v>
      </c>
      <c r="M291" t="s">
        <v>22</v>
      </c>
      <c r="N291">
        <v>155.63</v>
      </c>
      <c r="O291">
        <v>79.81</v>
      </c>
      <c r="P291">
        <v>19</v>
      </c>
    </row>
    <row r="292" spans="1:16" x14ac:dyDescent="0.25">
      <c r="A292" t="s">
        <v>181</v>
      </c>
      <c r="B292" t="s">
        <v>62</v>
      </c>
      <c r="C292" t="s">
        <v>63</v>
      </c>
      <c r="D292">
        <v>2017</v>
      </c>
      <c r="E292" s="5">
        <f t="shared" si="4"/>
        <v>42736</v>
      </c>
      <c r="F292" t="s">
        <v>18</v>
      </c>
      <c r="G292" t="s">
        <v>66</v>
      </c>
      <c r="H292" t="s">
        <v>64</v>
      </c>
      <c r="I292" t="s">
        <v>65</v>
      </c>
      <c r="J292">
        <v>95</v>
      </c>
      <c r="K292">
        <v>10.63</v>
      </c>
      <c r="L292">
        <v>249.29</v>
      </c>
      <c r="M292" t="s">
        <v>22</v>
      </c>
      <c r="N292">
        <v>182.93</v>
      </c>
      <c r="O292">
        <v>90.53</v>
      </c>
      <c r="P292">
        <v>13</v>
      </c>
    </row>
    <row r="293" spans="1:16" x14ac:dyDescent="0.25">
      <c r="A293" t="s">
        <v>74</v>
      </c>
      <c r="B293" t="s">
        <v>75</v>
      </c>
      <c r="C293" t="s">
        <v>49</v>
      </c>
      <c r="D293">
        <v>2019</v>
      </c>
      <c r="E293" s="5">
        <f t="shared" si="4"/>
        <v>43466</v>
      </c>
      <c r="F293" t="s">
        <v>18</v>
      </c>
      <c r="G293" t="s">
        <v>23</v>
      </c>
      <c r="H293" t="s">
        <v>76</v>
      </c>
      <c r="I293" t="s">
        <v>21</v>
      </c>
      <c r="J293">
        <v>100</v>
      </c>
      <c r="K293">
        <v>7.95</v>
      </c>
      <c r="L293">
        <v>43.25</v>
      </c>
      <c r="M293" t="s">
        <v>24</v>
      </c>
      <c r="N293">
        <v>21.54</v>
      </c>
      <c r="O293">
        <v>44.73</v>
      </c>
      <c r="P293">
        <v>21</v>
      </c>
    </row>
    <row r="294" spans="1:16" x14ac:dyDescent="0.25">
      <c r="A294" t="s">
        <v>144</v>
      </c>
      <c r="B294" t="s">
        <v>145</v>
      </c>
      <c r="C294" t="s">
        <v>145</v>
      </c>
      <c r="D294">
        <v>2018</v>
      </c>
      <c r="E294" s="5">
        <f t="shared" si="4"/>
        <v>43101</v>
      </c>
      <c r="F294" t="s">
        <v>35</v>
      </c>
      <c r="G294" t="s">
        <v>23</v>
      </c>
      <c r="H294" t="s">
        <v>146</v>
      </c>
      <c r="I294" t="s">
        <v>51</v>
      </c>
      <c r="J294">
        <v>65</v>
      </c>
      <c r="K294">
        <v>7.62</v>
      </c>
      <c r="L294">
        <v>160.78</v>
      </c>
      <c r="M294" t="s">
        <v>24</v>
      </c>
      <c r="N294">
        <v>121.44</v>
      </c>
      <c r="O294">
        <v>61.36</v>
      </c>
      <c r="P294">
        <v>11</v>
      </c>
    </row>
    <row r="295" spans="1:16" x14ac:dyDescent="0.25">
      <c r="A295" t="s">
        <v>68</v>
      </c>
      <c r="B295" t="s">
        <v>16</v>
      </c>
      <c r="C295" t="s">
        <v>17</v>
      </c>
      <c r="D295">
        <v>2004</v>
      </c>
      <c r="E295" s="5">
        <f t="shared" si="4"/>
        <v>37987</v>
      </c>
      <c r="F295" t="s">
        <v>18</v>
      </c>
      <c r="G295" t="s">
        <v>28</v>
      </c>
      <c r="H295" t="s">
        <v>20</v>
      </c>
      <c r="I295" t="s">
        <v>21</v>
      </c>
      <c r="J295">
        <v>73</v>
      </c>
      <c r="K295">
        <v>9.4499999999999993</v>
      </c>
      <c r="L295">
        <v>240.67</v>
      </c>
      <c r="M295" t="s">
        <v>22</v>
      </c>
      <c r="N295">
        <v>56.77</v>
      </c>
      <c r="O295">
        <v>32.340000000000003</v>
      </c>
      <c r="P295">
        <v>14</v>
      </c>
    </row>
    <row r="296" spans="1:16" x14ac:dyDescent="0.25">
      <c r="A296" t="s">
        <v>32</v>
      </c>
      <c r="B296" t="s">
        <v>33</v>
      </c>
      <c r="C296" t="s">
        <v>34</v>
      </c>
      <c r="D296">
        <v>2015</v>
      </c>
      <c r="E296" s="5">
        <f t="shared" si="4"/>
        <v>42005</v>
      </c>
      <c r="F296" t="s">
        <v>35</v>
      </c>
      <c r="G296" t="s">
        <v>23</v>
      </c>
      <c r="H296" t="s">
        <v>36</v>
      </c>
      <c r="I296" t="s">
        <v>21</v>
      </c>
      <c r="J296">
        <v>63</v>
      </c>
      <c r="K296">
        <v>180.97</v>
      </c>
      <c r="L296">
        <v>39.06</v>
      </c>
      <c r="M296" t="s">
        <v>24</v>
      </c>
      <c r="N296">
        <v>36.200000000000003</v>
      </c>
      <c r="O296">
        <v>1472.01</v>
      </c>
      <c r="P296">
        <v>20</v>
      </c>
    </row>
    <row r="297" spans="1:16" x14ac:dyDescent="0.25">
      <c r="A297" t="s">
        <v>111</v>
      </c>
      <c r="B297" t="s">
        <v>112</v>
      </c>
      <c r="C297" t="s">
        <v>113</v>
      </c>
      <c r="D297">
        <v>2016</v>
      </c>
      <c r="E297" s="5">
        <f t="shared" si="4"/>
        <v>42370</v>
      </c>
      <c r="F297" t="s">
        <v>18</v>
      </c>
      <c r="G297" t="s">
        <v>28</v>
      </c>
      <c r="H297" t="s">
        <v>76</v>
      </c>
      <c r="I297" t="s">
        <v>21</v>
      </c>
      <c r="J297">
        <v>82</v>
      </c>
      <c r="K297">
        <v>3.37</v>
      </c>
      <c r="L297">
        <v>189.35</v>
      </c>
      <c r="M297" t="s">
        <v>22</v>
      </c>
      <c r="N297">
        <v>126.95</v>
      </c>
      <c r="O297">
        <v>66.28</v>
      </c>
      <c r="P297">
        <v>7</v>
      </c>
    </row>
    <row r="298" spans="1:16" x14ac:dyDescent="0.25">
      <c r="A298" t="s">
        <v>175</v>
      </c>
      <c r="B298" t="s">
        <v>176</v>
      </c>
      <c r="C298" t="s">
        <v>177</v>
      </c>
      <c r="D298">
        <v>2021</v>
      </c>
      <c r="E298" s="5">
        <f t="shared" si="4"/>
        <v>44197</v>
      </c>
      <c r="F298" t="s">
        <v>89</v>
      </c>
      <c r="G298" t="s">
        <v>27</v>
      </c>
      <c r="H298" t="s">
        <v>131</v>
      </c>
      <c r="I298" t="s">
        <v>167</v>
      </c>
      <c r="J298">
        <v>82</v>
      </c>
      <c r="K298">
        <v>1.28</v>
      </c>
      <c r="L298">
        <v>224.88</v>
      </c>
      <c r="M298" t="s">
        <v>24</v>
      </c>
      <c r="N298">
        <v>71.97</v>
      </c>
      <c r="O298">
        <v>35</v>
      </c>
      <c r="P298">
        <v>17</v>
      </c>
    </row>
    <row r="299" spans="1:16" x14ac:dyDescent="0.25">
      <c r="A299" t="s">
        <v>68</v>
      </c>
      <c r="B299" t="s">
        <v>16</v>
      </c>
      <c r="C299" t="s">
        <v>17</v>
      </c>
      <c r="D299">
        <v>2004</v>
      </c>
      <c r="E299" s="5">
        <f t="shared" si="4"/>
        <v>37987</v>
      </c>
      <c r="F299" t="s">
        <v>18</v>
      </c>
      <c r="G299" t="s">
        <v>28</v>
      </c>
      <c r="H299" t="s">
        <v>20</v>
      </c>
      <c r="I299" t="s">
        <v>21</v>
      </c>
      <c r="J299">
        <v>71</v>
      </c>
      <c r="K299">
        <v>7.96</v>
      </c>
      <c r="L299">
        <v>240.67</v>
      </c>
      <c r="M299" t="s">
        <v>22</v>
      </c>
      <c r="N299">
        <v>56.77</v>
      </c>
      <c r="O299">
        <v>28.22</v>
      </c>
      <c r="P299">
        <v>12</v>
      </c>
    </row>
    <row r="300" spans="1:16" x14ac:dyDescent="0.25">
      <c r="A300" t="s">
        <v>188</v>
      </c>
      <c r="B300" t="s">
        <v>189</v>
      </c>
      <c r="C300" t="s">
        <v>190</v>
      </c>
      <c r="D300">
        <v>2019</v>
      </c>
      <c r="E300" s="5">
        <f t="shared" si="4"/>
        <v>43466</v>
      </c>
      <c r="F300" t="s">
        <v>35</v>
      </c>
      <c r="G300" t="s">
        <v>28</v>
      </c>
      <c r="H300" t="s">
        <v>191</v>
      </c>
      <c r="I300" t="s">
        <v>21</v>
      </c>
      <c r="J300">
        <v>72</v>
      </c>
      <c r="K300">
        <v>0.89</v>
      </c>
      <c r="L300">
        <v>40.92</v>
      </c>
      <c r="M300" t="s">
        <v>24</v>
      </c>
      <c r="N300">
        <v>92.62</v>
      </c>
      <c r="O300">
        <v>48.65</v>
      </c>
      <c r="P300">
        <v>14</v>
      </c>
    </row>
    <row r="301" spans="1:16" x14ac:dyDescent="0.25">
      <c r="A301" t="s">
        <v>29</v>
      </c>
      <c r="B301" t="s">
        <v>16</v>
      </c>
      <c r="C301" t="s">
        <v>17</v>
      </c>
      <c r="D301">
        <v>2008</v>
      </c>
      <c r="E301" s="5">
        <f t="shared" si="4"/>
        <v>39448</v>
      </c>
      <c r="F301" t="s">
        <v>18</v>
      </c>
      <c r="G301" t="s">
        <v>28</v>
      </c>
      <c r="H301" t="s">
        <v>20</v>
      </c>
      <c r="I301" t="s">
        <v>21</v>
      </c>
      <c r="J301">
        <v>93</v>
      </c>
      <c r="K301">
        <v>6.98</v>
      </c>
      <c r="L301">
        <v>134</v>
      </c>
      <c r="M301" t="s">
        <v>22</v>
      </c>
      <c r="N301">
        <v>52.74</v>
      </c>
      <c r="O301">
        <v>38.15</v>
      </c>
      <c r="P301">
        <v>9</v>
      </c>
    </row>
    <row r="302" spans="1:16" x14ac:dyDescent="0.25">
      <c r="A302" t="s">
        <v>80</v>
      </c>
      <c r="B302" t="s">
        <v>81</v>
      </c>
      <c r="C302" t="s">
        <v>82</v>
      </c>
      <c r="D302">
        <v>2011</v>
      </c>
      <c r="E302" s="5">
        <f t="shared" si="4"/>
        <v>40544</v>
      </c>
      <c r="F302" t="s">
        <v>83</v>
      </c>
      <c r="G302" t="s">
        <v>37</v>
      </c>
      <c r="H302" t="s">
        <v>84</v>
      </c>
      <c r="I302" t="s">
        <v>85</v>
      </c>
      <c r="J302">
        <v>82</v>
      </c>
      <c r="K302">
        <v>57.01</v>
      </c>
      <c r="L302">
        <v>62.56</v>
      </c>
      <c r="M302" t="s">
        <v>24</v>
      </c>
      <c r="N302">
        <v>129.34</v>
      </c>
      <c r="O302">
        <v>466.46</v>
      </c>
      <c r="P302">
        <v>17</v>
      </c>
    </row>
    <row r="303" spans="1:16" x14ac:dyDescent="0.25">
      <c r="A303" t="s">
        <v>29</v>
      </c>
      <c r="B303" t="s">
        <v>16</v>
      </c>
      <c r="C303" t="s">
        <v>17</v>
      </c>
      <c r="D303">
        <v>2008</v>
      </c>
      <c r="E303" s="5">
        <f t="shared" si="4"/>
        <v>39448</v>
      </c>
      <c r="F303" t="s">
        <v>18</v>
      </c>
      <c r="G303" t="s">
        <v>19</v>
      </c>
      <c r="H303" t="s">
        <v>20</v>
      </c>
      <c r="I303" t="s">
        <v>21</v>
      </c>
      <c r="J303">
        <v>66</v>
      </c>
      <c r="K303">
        <v>0.54</v>
      </c>
      <c r="L303">
        <v>57.75</v>
      </c>
      <c r="M303" t="s">
        <v>22</v>
      </c>
      <c r="N303">
        <v>61.43</v>
      </c>
      <c r="O303">
        <v>38.47</v>
      </c>
      <c r="P303">
        <v>8</v>
      </c>
    </row>
    <row r="304" spans="1:16" x14ac:dyDescent="0.25">
      <c r="A304" t="s">
        <v>77</v>
      </c>
      <c r="B304" t="s">
        <v>78</v>
      </c>
      <c r="C304" t="s">
        <v>49</v>
      </c>
      <c r="D304">
        <v>2019</v>
      </c>
      <c r="E304" s="5">
        <f t="shared" si="4"/>
        <v>43466</v>
      </c>
      <c r="F304" t="s">
        <v>18</v>
      </c>
      <c r="G304" t="s">
        <v>25</v>
      </c>
      <c r="H304" t="s">
        <v>79</v>
      </c>
      <c r="I304" t="s">
        <v>21</v>
      </c>
      <c r="J304">
        <v>80</v>
      </c>
      <c r="K304">
        <v>5.37</v>
      </c>
      <c r="L304">
        <v>61.75</v>
      </c>
      <c r="M304" t="s">
        <v>24</v>
      </c>
      <c r="N304">
        <v>132.93</v>
      </c>
      <c r="O304">
        <v>78.319999999999993</v>
      </c>
      <c r="P304">
        <v>4</v>
      </c>
    </row>
    <row r="305" spans="1:16" x14ac:dyDescent="0.25">
      <c r="A305" t="s">
        <v>127</v>
      </c>
      <c r="B305" t="s">
        <v>128</v>
      </c>
      <c r="C305" t="s">
        <v>129</v>
      </c>
      <c r="D305">
        <v>2018</v>
      </c>
      <c r="E305" s="5">
        <f t="shared" si="4"/>
        <v>43101</v>
      </c>
      <c r="F305" t="s">
        <v>130</v>
      </c>
      <c r="G305" t="s">
        <v>37</v>
      </c>
      <c r="H305" t="s">
        <v>131</v>
      </c>
      <c r="I305" t="s">
        <v>51</v>
      </c>
      <c r="J305">
        <v>98</v>
      </c>
      <c r="K305">
        <v>4.49</v>
      </c>
      <c r="L305">
        <v>63.27</v>
      </c>
      <c r="M305" t="s">
        <v>24</v>
      </c>
      <c r="N305">
        <v>169.83</v>
      </c>
      <c r="O305">
        <v>100.82</v>
      </c>
      <c r="P305">
        <v>12</v>
      </c>
    </row>
    <row r="306" spans="1:16" x14ac:dyDescent="0.25">
      <c r="A306" t="s">
        <v>77</v>
      </c>
      <c r="B306" t="s">
        <v>78</v>
      </c>
      <c r="C306" t="s">
        <v>49</v>
      </c>
      <c r="D306">
        <v>2019</v>
      </c>
      <c r="E306" s="5">
        <f t="shared" si="4"/>
        <v>43466</v>
      </c>
      <c r="F306" t="s">
        <v>18</v>
      </c>
      <c r="G306" t="s">
        <v>23</v>
      </c>
      <c r="H306" t="s">
        <v>79</v>
      </c>
      <c r="I306" t="s">
        <v>21</v>
      </c>
      <c r="J306">
        <v>74</v>
      </c>
      <c r="K306">
        <v>6.06</v>
      </c>
      <c r="L306">
        <v>192.35</v>
      </c>
      <c r="M306" t="s">
        <v>22</v>
      </c>
      <c r="N306">
        <v>93.81</v>
      </c>
      <c r="O306">
        <v>74.900000000000006</v>
      </c>
      <c r="P306">
        <v>18</v>
      </c>
    </row>
    <row r="307" spans="1:16" x14ac:dyDescent="0.25">
      <c r="A307" t="s">
        <v>137</v>
      </c>
      <c r="B307" t="s">
        <v>138</v>
      </c>
      <c r="C307" t="s">
        <v>125</v>
      </c>
      <c r="D307">
        <v>2019</v>
      </c>
      <c r="E307" s="5">
        <f t="shared" si="4"/>
        <v>43466</v>
      </c>
      <c r="F307" t="s">
        <v>139</v>
      </c>
      <c r="G307" t="s">
        <v>25</v>
      </c>
      <c r="H307" t="s">
        <v>140</v>
      </c>
      <c r="I307" t="s">
        <v>21</v>
      </c>
      <c r="J307">
        <v>63</v>
      </c>
      <c r="K307">
        <v>5.99</v>
      </c>
      <c r="L307">
        <v>235.85</v>
      </c>
      <c r="M307" t="s">
        <v>22</v>
      </c>
      <c r="N307">
        <v>68.959999999999994</v>
      </c>
      <c r="O307">
        <v>44.95</v>
      </c>
      <c r="P307">
        <v>20</v>
      </c>
    </row>
    <row r="308" spans="1:16" x14ac:dyDescent="0.25">
      <c r="A308" t="s">
        <v>44</v>
      </c>
      <c r="B308" t="s">
        <v>45</v>
      </c>
      <c r="C308" t="s">
        <v>42</v>
      </c>
      <c r="D308">
        <v>2018</v>
      </c>
      <c r="E308" s="5">
        <f t="shared" si="4"/>
        <v>43101</v>
      </c>
      <c r="F308" t="s">
        <v>35</v>
      </c>
      <c r="G308" t="s">
        <v>28</v>
      </c>
      <c r="H308" t="s">
        <v>43</v>
      </c>
      <c r="I308" t="s">
        <v>21</v>
      </c>
      <c r="J308">
        <v>70</v>
      </c>
      <c r="K308">
        <v>21.81</v>
      </c>
      <c r="L308">
        <v>70.36</v>
      </c>
      <c r="M308" t="s">
        <v>24</v>
      </c>
      <c r="N308">
        <v>53.71</v>
      </c>
      <c r="O308">
        <v>220.16</v>
      </c>
      <c r="P308">
        <v>14</v>
      </c>
    </row>
    <row r="309" spans="1:16" x14ac:dyDescent="0.25">
      <c r="A309" t="s">
        <v>133</v>
      </c>
      <c r="B309" t="s">
        <v>54</v>
      </c>
      <c r="C309" t="s">
        <v>55</v>
      </c>
      <c r="D309">
        <v>2016</v>
      </c>
      <c r="E309" s="5">
        <f t="shared" si="4"/>
        <v>42370</v>
      </c>
      <c r="F309" t="s">
        <v>35</v>
      </c>
      <c r="G309" t="s">
        <v>23</v>
      </c>
      <c r="H309" t="s">
        <v>56</v>
      </c>
      <c r="I309" t="s">
        <v>51</v>
      </c>
      <c r="J309">
        <v>67</v>
      </c>
      <c r="K309">
        <v>8.4700000000000006</v>
      </c>
      <c r="L309">
        <v>161.94</v>
      </c>
      <c r="M309" t="s">
        <v>24</v>
      </c>
      <c r="N309">
        <v>65.239999999999995</v>
      </c>
      <c r="O309">
        <v>49.54</v>
      </c>
      <c r="P309">
        <v>18</v>
      </c>
    </row>
    <row r="310" spans="1:16" x14ac:dyDescent="0.25">
      <c r="A310" t="s">
        <v>182</v>
      </c>
      <c r="B310" t="s">
        <v>62</v>
      </c>
      <c r="C310" t="s">
        <v>63</v>
      </c>
      <c r="D310">
        <v>2023</v>
      </c>
      <c r="E310" s="5">
        <f t="shared" si="4"/>
        <v>44927</v>
      </c>
      <c r="F310" t="s">
        <v>18</v>
      </c>
      <c r="G310" t="s">
        <v>37</v>
      </c>
      <c r="H310" t="s">
        <v>64</v>
      </c>
      <c r="I310" t="s">
        <v>65</v>
      </c>
      <c r="J310">
        <v>77</v>
      </c>
      <c r="K310">
        <v>3.17</v>
      </c>
      <c r="L310">
        <v>237.84</v>
      </c>
      <c r="M310" t="s">
        <v>22</v>
      </c>
      <c r="N310">
        <v>71.64</v>
      </c>
      <c r="O310">
        <v>40.549999999999997</v>
      </c>
      <c r="P310">
        <v>5</v>
      </c>
    </row>
    <row r="311" spans="1:16" x14ac:dyDescent="0.25">
      <c r="A311" t="s">
        <v>137</v>
      </c>
      <c r="B311" t="s">
        <v>138</v>
      </c>
      <c r="C311" t="s">
        <v>125</v>
      </c>
      <c r="D311">
        <v>2019</v>
      </c>
      <c r="E311" s="5">
        <f t="shared" si="4"/>
        <v>43466</v>
      </c>
      <c r="F311" t="s">
        <v>139</v>
      </c>
      <c r="G311" t="s">
        <v>27</v>
      </c>
      <c r="H311" t="s">
        <v>140</v>
      </c>
      <c r="I311" t="s">
        <v>21</v>
      </c>
      <c r="J311">
        <v>75</v>
      </c>
      <c r="K311">
        <v>8.98</v>
      </c>
      <c r="L311">
        <v>76.25</v>
      </c>
      <c r="M311" t="s">
        <v>22</v>
      </c>
      <c r="N311">
        <v>84.62</v>
      </c>
      <c r="O311">
        <v>47.14</v>
      </c>
      <c r="P311">
        <v>1</v>
      </c>
    </row>
    <row r="312" spans="1:16" x14ac:dyDescent="0.25">
      <c r="A312" t="s">
        <v>204</v>
      </c>
      <c r="B312" t="s">
        <v>205</v>
      </c>
      <c r="C312" t="s">
        <v>17</v>
      </c>
      <c r="D312">
        <v>2010</v>
      </c>
      <c r="E312" s="5">
        <f t="shared" si="4"/>
        <v>40179</v>
      </c>
      <c r="F312" t="s">
        <v>18</v>
      </c>
      <c r="G312" t="s">
        <v>26</v>
      </c>
      <c r="H312" t="s">
        <v>20</v>
      </c>
      <c r="I312" t="s">
        <v>21</v>
      </c>
      <c r="J312">
        <v>94</v>
      </c>
      <c r="K312">
        <v>2.02</v>
      </c>
      <c r="L312">
        <v>11.43</v>
      </c>
      <c r="M312" t="s">
        <v>24</v>
      </c>
      <c r="N312">
        <v>187.01</v>
      </c>
      <c r="O312">
        <v>97.59</v>
      </c>
      <c r="P312">
        <v>16</v>
      </c>
    </row>
    <row r="313" spans="1:16" x14ac:dyDescent="0.25">
      <c r="A313" t="s">
        <v>192</v>
      </c>
      <c r="B313" t="s">
        <v>193</v>
      </c>
      <c r="C313" t="s">
        <v>194</v>
      </c>
      <c r="D313">
        <v>2021</v>
      </c>
      <c r="E313" s="5">
        <f t="shared" si="4"/>
        <v>44197</v>
      </c>
      <c r="F313" t="s">
        <v>35</v>
      </c>
      <c r="G313" t="s">
        <v>27</v>
      </c>
      <c r="H313" t="s">
        <v>92</v>
      </c>
      <c r="I313" t="s">
        <v>51</v>
      </c>
      <c r="J313">
        <v>90</v>
      </c>
      <c r="K313">
        <v>1.51</v>
      </c>
      <c r="L313">
        <v>178.96</v>
      </c>
      <c r="M313" t="s">
        <v>24</v>
      </c>
      <c r="N313">
        <v>70.38</v>
      </c>
      <c r="O313">
        <v>45.68</v>
      </c>
      <c r="P313">
        <v>0</v>
      </c>
    </row>
    <row r="314" spans="1:16" x14ac:dyDescent="0.25">
      <c r="A314" t="s">
        <v>68</v>
      </c>
      <c r="B314" t="s">
        <v>16</v>
      </c>
      <c r="C314" t="s">
        <v>17</v>
      </c>
      <c r="D314">
        <v>2004</v>
      </c>
      <c r="E314" s="5">
        <f t="shared" si="4"/>
        <v>37987</v>
      </c>
      <c r="F314" t="s">
        <v>18</v>
      </c>
      <c r="G314" t="s">
        <v>70</v>
      </c>
      <c r="H314" t="s">
        <v>20</v>
      </c>
      <c r="I314" t="s">
        <v>21</v>
      </c>
      <c r="J314">
        <v>69</v>
      </c>
      <c r="K314">
        <v>17.22</v>
      </c>
      <c r="L314">
        <v>127.84</v>
      </c>
      <c r="M314" t="s">
        <v>24</v>
      </c>
      <c r="N314">
        <v>137.51</v>
      </c>
      <c r="O314">
        <v>128.1</v>
      </c>
      <c r="P314">
        <v>9</v>
      </c>
    </row>
    <row r="315" spans="1:16" x14ac:dyDescent="0.25">
      <c r="A315" t="s">
        <v>150</v>
      </c>
      <c r="B315" t="s">
        <v>151</v>
      </c>
      <c r="C315" t="s">
        <v>151</v>
      </c>
      <c r="D315">
        <v>2014</v>
      </c>
      <c r="E315" s="5">
        <f t="shared" si="4"/>
        <v>41640</v>
      </c>
      <c r="F315" t="s">
        <v>152</v>
      </c>
      <c r="G315" t="s">
        <v>23</v>
      </c>
      <c r="H315" t="s">
        <v>153</v>
      </c>
      <c r="I315" t="s">
        <v>51</v>
      </c>
      <c r="J315">
        <v>86</v>
      </c>
      <c r="K315">
        <v>9.33</v>
      </c>
      <c r="L315">
        <v>95.85</v>
      </c>
      <c r="M315" t="s">
        <v>24</v>
      </c>
      <c r="N315">
        <v>121.49</v>
      </c>
      <c r="O315">
        <v>55.82</v>
      </c>
      <c r="P315">
        <v>16</v>
      </c>
    </row>
    <row r="316" spans="1:16" x14ac:dyDescent="0.25">
      <c r="A316" t="s">
        <v>154</v>
      </c>
      <c r="B316" t="s">
        <v>155</v>
      </c>
      <c r="C316" t="s">
        <v>156</v>
      </c>
      <c r="D316">
        <v>2022</v>
      </c>
      <c r="E316" s="5">
        <f t="shared" si="4"/>
        <v>44562</v>
      </c>
      <c r="F316" t="s">
        <v>157</v>
      </c>
      <c r="G316" t="s">
        <v>23</v>
      </c>
      <c r="H316" t="s">
        <v>158</v>
      </c>
      <c r="I316" t="s">
        <v>21</v>
      </c>
      <c r="J316">
        <v>96</v>
      </c>
      <c r="K316">
        <v>158.91</v>
      </c>
      <c r="L316">
        <v>217.15</v>
      </c>
      <c r="M316" t="s">
        <v>22</v>
      </c>
      <c r="N316">
        <v>145.61000000000001</v>
      </c>
      <c r="O316">
        <v>1636.78</v>
      </c>
      <c r="P316">
        <v>18</v>
      </c>
    </row>
    <row r="317" spans="1:16" x14ac:dyDescent="0.25">
      <c r="A317" t="s">
        <v>15</v>
      </c>
      <c r="B317" t="s">
        <v>16</v>
      </c>
      <c r="C317" t="s">
        <v>17</v>
      </c>
      <c r="D317">
        <v>2013</v>
      </c>
      <c r="E317" s="5">
        <f t="shared" si="4"/>
        <v>41275</v>
      </c>
      <c r="F317" t="s">
        <v>18</v>
      </c>
      <c r="G317" t="s">
        <v>25</v>
      </c>
      <c r="H317" t="s">
        <v>20</v>
      </c>
      <c r="I317" t="s">
        <v>21</v>
      </c>
      <c r="J317">
        <v>67</v>
      </c>
      <c r="K317">
        <v>174.28</v>
      </c>
      <c r="L317">
        <v>175.63</v>
      </c>
      <c r="M317" t="s">
        <v>22</v>
      </c>
      <c r="N317">
        <v>86.81</v>
      </c>
      <c r="O317">
        <v>697.71</v>
      </c>
      <c r="P317">
        <v>9</v>
      </c>
    </row>
    <row r="318" spans="1:16" x14ac:dyDescent="0.25">
      <c r="A318" t="s">
        <v>100</v>
      </c>
      <c r="B318" t="s">
        <v>41</v>
      </c>
      <c r="C318" t="s">
        <v>42</v>
      </c>
      <c r="D318">
        <v>2014</v>
      </c>
      <c r="E318" s="5">
        <f t="shared" si="4"/>
        <v>41640</v>
      </c>
      <c r="F318" t="s">
        <v>98</v>
      </c>
      <c r="G318" t="s">
        <v>23</v>
      </c>
      <c r="H318" t="s">
        <v>99</v>
      </c>
      <c r="I318" t="s">
        <v>21</v>
      </c>
      <c r="J318">
        <v>97</v>
      </c>
      <c r="K318">
        <v>10.09</v>
      </c>
      <c r="L318">
        <v>61.1</v>
      </c>
      <c r="M318" t="s">
        <v>22</v>
      </c>
      <c r="N318">
        <v>84.25</v>
      </c>
      <c r="O318">
        <v>61.54</v>
      </c>
      <c r="P318">
        <v>6</v>
      </c>
    </row>
    <row r="319" spans="1:16" x14ac:dyDescent="0.25">
      <c r="A319" t="s">
        <v>150</v>
      </c>
      <c r="B319" t="s">
        <v>151</v>
      </c>
      <c r="C319" t="s">
        <v>151</v>
      </c>
      <c r="D319">
        <v>2014</v>
      </c>
      <c r="E319" s="5">
        <f t="shared" si="4"/>
        <v>41640</v>
      </c>
      <c r="F319" t="s">
        <v>152</v>
      </c>
      <c r="G319" t="s">
        <v>27</v>
      </c>
      <c r="H319" t="s">
        <v>153</v>
      </c>
      <c r="I319" t="s">
        <v>51</v>
      </c>
      <c r="J319">
        <v>75</v>
      </c>
      <c r="K319">
        <v>1.18</v>
      </c>
      <c r="L319">
        <v>175.74</v>
      </c>
      <c r="M319" t="s">
        <v>24</v>
      </c>
      <c r="N319">
        <v>171.29</v>
      </c>
      <c r="O319">
        <v>100.4</v>
      </c>
      <c r="P319">
        <v>16</v>
      </c>
    </row>
    <row r="320" spans="1:16" x14ac:dyDescent="0.25">
      <c r="A320" t="s">
        <v>68</v>
      </c>
      <c r="B320" t="s">
        <v>16</v>
      </c>
      <c r="C320" t="s">
        <v>17</v>
      </c>
      <c r="D320">
        <v>2004</v>
      </c>
      <c r="E320" s="5">
        <f t="shared" si="4"/>
        <v>37987</v>
      </c>
      <c r="F320" t="s">
        <v>18</v>
      </c>
      <c r="G320" t="s">
        <v>28</v>
      </c>
      <c r="H320" t="s">
        <v>20</v>
      </c>
      <c r="I320" t="s">
        <v>21</v>
      </c>
      <c r="J320">
        <v>71</v>
      </c>
      <c r="K320">
        <v>10.02</v>
      </c>
      <c r="L320">
        <v>240.67</v>
      </c>
      <c r="M320" t="s">
        <v>22</v>
      </c>
      <c r="N320">
        <v>56.77</v>
      </c>
      <c r="O320">
        <v>36.119999999999997</v>
      </c>
      <c r="P320">
        <v>13</v>
      </c>
    </row>
    <row r="321" spans="1:16" x14ac:dyDescent="0.25">
      <c r="A321" t="s">
        <v>97</v>
      </c>
      <c r="B321" t="s">
        <v>41</v>
      </c>
      <c r="C321" t="s">
        <v>42</v>
      </c>
      <c r="D321">
        <v>2012</v>
      </c>
      <c r="E321" s="5">
        <f t="shared" si="4"/>
        <v>40909</v>
      </c>
      <c r="F321" t="s">
        <v>98</v>
      </c>
      <c r="G321" t="s">
        <v>19</v>
      </c>
      <c r="H321" t="s">
        <v>99</v>
      </c>
      <c r="I321" t="s">
        <v>21</v>
      </c>
      <c r="J321">
        <v>90</v>
      </c>
      <c r="K321">
        <v>25.42</v>
      </c>
      <c r="L321">
        <v>162.96</v>
      </c>
      <c r="M321" t="s">
        <v>22</v>
      </c>
      <c r="N321">
        <v>125.1</v>
      </c>
      <c r="O321">
        <v>192.94</v>
      </c>
      <c r="P321">
        <v>14</v>
      </c>
    </row>
    <row r="322" spans="1:16" x14ac:dyDescent="0.25">
      <c r="A322" t="s">
        <v>183</v>
      </c>
      <c r="B322" t="s">
        <v>184</v>
      </c>
      <c r="C322" t="s">
        <v>125</v>
      </c>
      <c r="D322">
        <v>2018</v>
      </c>
      <c r="E322" s="5">
        <f t="shared" si="4"/>
        <v>43101</v>
      </c>
      <c r="F322" t="s">
        <v>35</v>
      </c>
      <c r="G322" t="s">
        <v>23</v>
      </c>
      <c r="H322" t="s">
        <v>185</v>
      </c>
      <c r="I322" t="s">
        <v>21</v>
      </c>
      <c r="J322">
        <v>67</v>
      </c>
      <c r="K322">
        <v>0.9</v>
      </c>
      <c r="L322">
        <v>211.26</v>
      </c>
      <c r="M322" t="s">
        <v>24</v>
      </c>
      <c r="N322">
        <v>24.72</v>
      </c>
      <c r="O322">
        <v>14.6</v>
      </c>
      <c r="P322">
        <v>16</v>
      </c>
    </row>
    <row r="323" spans="1:16" x14ac:dyDescent="0.25">
      <c r="A323" t="s">
        <v>38</v>
      </c>
      <c r="B323" t="s">
        <v>33</v>
      </c>
      <c r="C323" t="s">
        <v>34</v>
      </c>
      <c r="D323">
        <v>2020</v>
      </c>
      <c r="E323" s="5">
        <f t="shared" ref="E323:E386" si="5">DATE(D323,1,1)</f>
        <v>43831</v>
      </c>
      <c r="F323" t="s">
        <v>35</v>
      </c>
      <c r="G323" t="s">
        <v>25</v>
      </c>
      <c r="H323" t="s">
        <v>36</v>
      </c>
      <c r="I323" t="s">
        <v>21</v>
      </c>
      <c r="J323">
        <v>79</v>
      </c>
      <c r="K323">
        <v>3.28</v>
      </c>
      <c r="L323">
        <v>5.85</v>
      </c>
      <c r="M323" t="s">
        <v>24</v>
      </c>
      <c r="N323">
        <v>186.17</v>
      </c>
      <c r="O323">
        <v>100.6</v>
      </c>
      <c r="P323">
        <v>9</v>
      </c>
    </row>
    <row r="324" spans="1:16" x14ac:dyDescent="0.25">
      <c r="A324" t="s">
        <v>134</v>
      </c>
      <c r="B324" t="s">
        <v>135</v>
      </c>
      <c r="C324" t="s">
        <v>110</v>
      </c>
      <c r="D324">
        <v>2007</v>
      </c>
      <c r="E324" s="5">
        <f t="shared" si="5"/>
        <v>39083</v>
      </c>
      <c r="F324" t="s">
        <v>130</v>
      </c>
      <c r="G324" t="s">
        <v>28</v>
      </c>
      <c r="H324" t="s">
        <v>136</v>
      </c>
      <c r="I324" t="s">
        <v>21</v>
      </c>
      <c r="J324">
        <v>81</v>
      </c>
      <c r="K324">
        <v>1.18</v>
      </c>
      <c r="L324">
        <v>99.25</v>
      </c>
      <c r="M324" t="s">
        <v>24</v>
      </c>
      <c r="N324">
        <v>56.57</v>
      </c>
      <c r="O324">
        <v>30.07</v>
      </c>
      <c r="P324">
        <v>11</v>
      </c>
    </row>
    <row r="325" spans="1:16" x14ac:dyDescent="0.25">
      <c r="A325" t="s">
        <v>80</v>
      </c>
      <c r="B325" t="s">
        <v>81</v>
      </c>
      <c r="C325" t="s">
        <v>82</v>
      </c>
      <c r="D325">
        <v>2011</v>
      </c>
      <c r="E325" s="5">
        <f t="shared" si="5"/>
        <v>40544</v>
      </c>
      <c r="F325" t="s">
        <v>83</v>
      </c>
      <c r="G325" t="s">
        <v>23</v>
      </c>
      <c r="H325" t="s">
        <v>84</v>
      </c>
      <c r="I325" t="s">
        <v>85</v>
      </c>
      <c r="J325">
        <v>86</v>
      </c>
      <c r="K325">
        <v>143.85</v>
      </c>
      <c r="L325">
        <v>246.99</v>
      </c>
      <c r="M325" t="s">
        <v>24</v>
      </c>
      <c r="N325">
        <v>121.11</v>
      </c>
      <c r="O325">
        <v>1283.1500000000001</v>
      </c>
      <c r="P325">
        <v>13</v>
      </c>
    </row>
    <row r="326" spans="1:16" x14ac:dyDescent="0.25">
      <c r="A326" t="s">
        <v>154</v>
      </c>
      <c r="B326" t="s">
        <v>155</v>
      </c>
      <c r="C326" t="s">
        <v>156</v>
      </c>
      <c r="D326">
        <v>2022</v>
      </c>
      <c r="E326" s="5">
        <f t="shared" si="5"/>
        <v>44562</v>
      </c>
      <c r="F326" t="s">
        <v>157</v>
      </c>
      <c r="G326" t="s">
        <v>23</v>
      </c>
      <c r="H326" t="s">
        <v>158</v>
      </c>
      <c r="I326" t="s">
        <v>21</v>
      </c>
      <c r="J326">
        <v>92</v>
      </c>
      <c r="K326">
        <v>170.75</v>
      </c>
      <c r="L326">
        <v>217.15</v>
      </c>
      <c r="M326" t="s">
        <v>22</v>
      </c>
      <c r="N326">
        <v>145.61000000000001</v>
      </c>
      <c r="O326">
        <v>1622.15</v>
      </c>
      <c r="P326">
        <v>20</v>
      </c>
    </row>
    <row r="327" spans="1:16" x14ac:dyDescent="0.25">
      <c r="A327" t="s">
        <v>100</v>
      </c>
      <c r="B327" t="s">
        <v>41</v>
      </c>
      <c r="C327" t="s">
        <v>42</v>
      </c>
      <c r="D327">
        <v>2014</v>
      </c>
      <c r="E327" s="5">
        <f t="shared" si="5"/>
        <v>41640</v>
      </c>
      <c r="F327" t="s">
        <v>98</v>
      </c>
      <c r="G327" t="s">
        <v>27</v>
      </c>
      <c r="H327" t="s">
        <v>99</v>
      </c>
      <c r="I327" t="s">
        <v>21</v>
      </c>
      <c r="J327">
        <v>73</v>
      </c>
      <c r="K327">
        <v>22.4</v>
      </c>
      <c r="L327">
        <v>133.19999999999999</v>
      </c>
      <c r="M327" t="s">
        <v>22</v>
      </c>
      <c r="N327">
        <v>87.97</v>
      </c>
      <c r="O327">
        <v>175.26</v>
      </c>
      <c r="P327">
        <v>11</v>
      </c>
    </row>
    <row r="328" spans="1:16" x14ac:dyDescent="0.25">
      <c r="A328" t="s">
        <v>101</v>
      </c>
      <c r="B328" t="s">
        <v>41</v>
      </c>
      <c r="C328" t="s">
        <v>42</v>
      </c>
      <c r="D328">
        <v>2018</v>
      </c>
      <c r="E328" s="5">
        <f t="shared" si="5"/>
        <v>43101</v>
      </c>
      <c r="F328" t="s">
        <v>98</v>
      </c>
      <c r="G328" t="s">
        <v>27</v>
      </c>
      <c r="H328" t="s">
        <v>99</v>
      </c>
      <c r="I328" t="s">
        <v>21</v>
      </c>
      <c r="J328">
        <v>67</v>
      </c>
      <c r="K328">
        <v>11.53</v>
      </c>
      <c r="L328">
        <v>45.68</v>
      </c>
      <c r="M328" t="s">
        <v>22</v>
      </c>
      <c r="N328">
        <v>7.76</v>
      </c>
      <c r="O328">
        <v>67.45</v>
      </c>
      <c r="P328">
        <v>8</v>
      </c>
    </row>
    <row r="329" spans="1:16" x14ac:dyDescent="0.25">
      <c r="A329" t="s">
        <v>195</v>
      </c>
      <c r="B329" t="s">
        <v>196</v>
      </c>
      <c r="C329" t="s">
        <v>196</v>
      </c>
      <c r="D329">
        <v>2024</v>
      </c>
      <c r="E329" s="5">
        <f t="shared" si="5"/>
        <v>45292</v>
      </c>
      <c r="F329" t="s">
        <v>130</v>
      </c>
      <c r="G329" t="s">
        <v>39</v>
      </c>
      <c r="H329" t="s">
        <v>84</v>
      </c>
      <c r="I329" t="s">
        <v>51</v>
      </c>
      <c r="J329">
        <v>86</v>
      </c>
      <c r="K329">
        <v>6.26</v>
      </c>
      <c r="L329">
        <v>16.64</v>
      </c>
      <c r="M329" t="s">
        <v>24</v>
      </c>
      <c r="N329">
        <v>168.15</v>
      </c>
      <c r="O329">
        <v>85.78</v>
      </c>
      <c r="P329">
        <v>16</v>
      </c>
    </row>
    <row r="330" spans="1:16" x14ac:dyDescent="0.25">
      <c r="A330" t="s">
        <v>100</v>
      </c>
      <c r="B330" t="s">
        <v>41</v>
      </c>
      <c r="C330" t="s">
        <v>42</v>
      </c>
      <c r="D330">
        <v>2014</v>
      </c>
      <c r="E330" s="5">
        <f t="shared" si="5"/>
        <v>41640</v>
      </c>
      <c r="F330" t="s">
        <v>98</v>
      </c>
      <c r="G330" t="s">
        <v>26</v>
      </c>
      <c r="H330" t="s">
        <v>99</v>
      </c>
      <c r="I330" t="s">
        <v>21</v>
      </c>
      <c r="J330">
        <v>77</v>
      </c>
      <c r="K330">
        <v>19.850000000000001</v>
      </c>
      <c r="L330">
        <v>5.29</v>
      </c>
      <c r="M330" t="s">
        <v>22</v>
      </c>
      <c r="N330">
        <v>62.38</v>
      </c>
      <c r="O330">
        <v>104.25</v>
      </c>
      <c r="P330">
        <v>6</v>
      </c>
    </row>
    <row r="331" spans="1:16" x14ac:dyDescent="0.25">
      <c r="A331" t="s">
        <v>127</v>
      </c>
      <c r="B331" t="s">
        <v>128</v>
      </c>
      <c r="C331" t="s">
        <v>129</v>
      </c>
      <c r="D331">
        <v>2018</v>
      </c>
      <c r="E331" s="5">
        <f t="shared" si="5"/>
        <v>43101</v>
      </c>
      <c r="F331" t="s">
        <v>130</v>
      </c>
      <c r="G331" t="s">
        <v>23</v>
      </c>
      <c r="H331" t="s">
        <v>131</v>
      </c>
      <c r="I331" t="s">
        <v>51</v>
      </c>
      <c r="J331">
        <v>68</v>
      </c>
      <c r="K331">
        <v>2.33</v>
      </c>
      <c r="L331">
        <v>159.84</v>
      </c>
      <c r="M331" t="s">
        <v>24</v>
      </c>
      <c r="N331">
        <v>94.62</v>
      </c>
      <c r="O331">
        <v>53.28</v>
      </c>
      <c r="P331">
        <v>14</v>
      </c>
    </row>
    <row r="332" spans="1:16" x14ac:dyDescent="0.25">
      <c r="A332" t="s">
        <v>144</v>
      </c>
      <c r="B332" t="s">
        <v>145</v>
      </c>
      <c r="C332" t="s">
        <v>145</v>
      </c>
      <c r="D332">
        <v>2018</v>
      </c>
      <c r="E332" s="5">
        <f t="shared" si="5"/>
        <v>43101</v>
      </c>
      <c r="F332" t="s">
        <v>35</v>
      </c>
      <c r="G332" t="s">
        <v>27</v>
      </c>
      <c r="H332" t="s">
        <v>146</v>
      </c>
      <c r="I332" t="s">
        <v>51</v>
      </c>
      <c r="J332">
        <v>68</v>
      </c>
      <c r="K332">
        <v>8.81</v>
      </c>
      <c r="L332">
        <v>52.1</v>
      </c>
      <c r="M332" t="s">
        <v>24</v>
      </c>
      <c r="N332">
        <v>166.81</v>
      </c>
      <c r="O332">
        <v>75.36</v>
      </c>
      <c r="P332">
        <v>19</v>
      </c>
    </row>
    <row r="333" spans="1:16" x14ac:dyDescent="0.25">
      <c r="A333" t="s">
        <v>169</v>
      </c>
      <c r="B333" t="s">
        <v>170</v>
      </c>
      <c r="C333" t="s">
        <v>171</v>
      </c>
      <c r="D333">
        <v>2018</v>
      </c>
      <c r="E333" s="5">
        <f t="shared" si="5"/>
        <v>43101</v>
      </c>
      <c r="F333" t="s">
        <v>165</v>
      </c>
      <c r="G333" t="s">
        <v>23</v>
      </c>
      <c r="H333" t="s">
        <v>172</v>
      </c>
      <c r="I333" t="s">
        <v>167</v>
      </c>
      <c r="J333">
        <v>85</v>
      </c>
      <c r="K333">
        <v>3.94</v>
      </c>
      <c r="L333">
        <v>20.58</v>
      </c>
      <c r="M333" t="s">
        <v>24</v>
      </c>
      <c r="N333">
        <v>174.75</v>
      </c>
      <c r="O333">
        <v>96.15</v>
      </c>
      <c r="P333">
        <v>7</v>
      </c>
    </row>
    <row r="334" spans="1:16" x14ac:dyDescent="0.25">
      <c r="A334" t="s">
        <v>147</v>
      </c>
      <c r="B334" t="s">
        <v>145</v>
      </c>
      <c r="C334" t="s">
        <v>145</v>
      </c>
      <c r="D334">
        <v>2012</v>
      </c>
      <c r="E334" s="5">
        <f t="shared" si="5"/>
        <v>40909</v>
      </c>
      <c r="F334" t="s">
        <v>35</v>
      </c>
      <c r="G334" t="s">
        <v>26</v>
      </c>
      <c r="H334" t="s">
        <v>76</v>
      </c>
      <c r="I334" t="s">
        <v>21</v>
      </c>
      <c r="J334">
        <v>85</v>
      </c>
      <c r="K334">
        <v>0.37</v>
      </c>
      <c r="L334">
        <v>4.7</v>
      </c>
      <c r="M334" t="s">
        <v>24</v>
      </c>
      <c r="N334">
        <v>159.05000000000001</v>
      </c>
      <c r="O334">
        <v>83.57</v>
      </c>
      <c r="P334">
        <v>11</v>
      </c>
    </row>
    <row r="335" spans="1:16" x14ac:dyDescent="0.25">
      <c r="A335" t="s">
        <v>148</v>
      </c>
      <c r="B335" t="s">
        <v>145</v>
      </c>
      <c r="C335" t="s">
        <v>145</v>
      </c>
      <c r="D335">
        <v>2024</v>
      </c>
      <c r="E335" s="5">
        <f t="shared" si="5"/>
        <v>45292</v>
      </c>
      <c r="F335" t="s">
        <v>35</v>
      </c>
      <c r="G335" t="s">
        <v>25</v>
      </c>
      <c r="H335" t="s">
        <v>149</v>
      </c>
      <c r="I335" t="s">
        <v>21</v>
      </c>
      <c r="J335">
        <v>76</v>
      </c>
      <c r="K335">
        <v>7.29</v>
      </c>
      <c r="L335">
        <v>128.80000000000001</v>
      </c>
      <c r="M335" t="s">
        <v>24</v>
      </c>
      <c r="N335">
        <v>26.27</v>
      </c>
      <c r="O335">
        <v>50.72</v>
      </c>
      <c r="P335">
        <v>19</v>
      </c>
    </row>
    <row r="336" spans="1:16" x14ac:dyDescent="0.25">
      <c r="A336" t="s">
        <v>173</v>
      </c>
      <c r="B336" t="s">
        <v>174</v>
      </c>
      <c r="C336" t="s">
        <v>42</v>
      </c>
      <c r="D336">
        <v>2018</v>
      </c>
      <c r="E336" s="5">
        <f t="shared" si="5"/>
        <v>43101</v>
      </c>
      <c r="F336" t="s">
        <v>165</v>
      </c>
      <c r="G336" t="s">
        <v>23</v>
      </c>
      <c r="H336" t="s">
        <v>99</v>
      </c>
      <c r="I336" t="s">
        <v>167</v>
      </c>
      <c r="J336">
        <v>85</v>
      </c>
      <c r="K336">
        <v>7.31</v>
      </c>
      <c r="L336">
        <v>190.21</v>
      </c>
      <c r="M336" t="s">
        <v>24</v>
      </c>
      <c r="N336">
        <v>92.54</v>
      </c>
      <c r="O336">
        <v>83.73</v>
      </c>
      <c r="P336">
        <v>18</v>
      </c>
    </row>
    <row r="337" spans="1:16" x14ac:dyDescent="0.25">
      <c r="A337" t="s">
        <v>90</v>
      </c>
      <c r="B337" t="s">
        <v>59</v>
      </c>
      <c r="C337" t="s">
        <v>91</v>
      </c>
      <c r="D337">
        <v>2019</v>
      </c>
      <c r="E337" s="5">
        <f t="shared" si="5"/>
        <v>43466</v>
      </c>
      <c r="F337" t="s">
        <v>35</v>
      </c>
      <c r="G337" t="s">
        <v>27</v>
      </c>
      <c r="H337" t="s">
        <v>92</v>
      </c>
      <c r="I337" t="s">
        <v>21</v>
      </c>
      <c r="J337">
        <v>99</v>
      </c>
      <c r="K337">
        <v>1.53</v>
      </c>
      <c r="L337">
        <v>155.94</v>
      </c>
      <c r="M337" t="s">
        <v>24</v>
      </c>
      <c r="N337">
        <v>10.26</v>
      </c>
      <c r="O337">
        <v>6.69</v>
      </c>
      <c r="P337">
        <v>18</v>
      </c>
    </row>
    <row r="338" spans="1:16" x14ac:dyDescent="0.25">
      <c r="A338" t="s">
        <v>80</v>
      </c>
      <c r="B338" t="s">
        <v>81</v>
      </c>
      <c r="C338" t="s">
        <v>82</v>
      </c>
      <c r="D338">
        <v>2011</v>
      </c>
      <c r="E338" s="5">
        <f t="shared" si="5"/>
        <v>40544</v>
      </c>
      <c r="F338" t="s">
        <v>83</v>
      </c>
      <c r="G338" t="s">
        <v>23</v>
      </c>
      <c r="H338" t="s">
        <v>84</v>
      </c>
      <c r="I338" t="s">
        <v>85</v>
      </c>
      <c r="J338">
        <v>82</v>
      </c>
      <c r="K338">
        <v>172.48</v>
      </c>
      <c r="L338">
        <v>246.99</v>
      </c>
      <c r="M338" t="s">
        <v>24</v>
      </c>
      <c r="N338">
        <v>121.11</v>
      </c>
      <c r="O338">
        <v>1683.14</v>
      </c>
      <c r="P338">
        <v>13</v>
      </c>
    </row>
    <row r="339" spans="1:16" x14ac:dyDescent="0.25">
      <c r="A339" t="s">
        <v>121</v>
      </c>
      <c r="B339" t="s">
        <v>118</v>
      </c>
      <c r="C339" t="s">
        <v>119</v>
      </c>
      <c r="D339">
        <v>2020</v>
      </c>
      <c r="E339" s="5">
        <f t="shared" si="5"/>
        <v>43831</v>
      </c>
      <c r="F339" t="s">
        <v>122</v>
      </c>
      <c r="G339" t="s">
        <v>25</v>
      </c>
      <c r="H339" t="s">
        <v>120</v>
      </c>
      <c r="I339" t="s">
        <v>21</v>
      </c>
      <c r="J339">
        <v>71</v>
      </c>
      <c r="K339">
        <v>9.86</v>
      </c>
      <c r="L339">
        <v>110.64</v>
      </c>
      <c r="M339" t="s">
        <v>22</v>
      </c>
      <c r="N339">
        <v>107.56</v>
      </c>
      <c r="O339">
        <v>62.49</v>
      </c>
      <c r="P339">
        <v>3</v>
      </c>
    </row>
    <row r="340" spans="1:16" x14ac:dyDescent="0.25">
      <c r="A340" t="s">
        <v>144</v>
      </c>
      <c r="B340" t="s">
        <v>145</v>
      </c>
      <c r="C340" t="s">
        <v>145</v>
      </c>
      <c r="D340">
        <v>2018</v>
      </c>
      <c r="E340" s="5">
        <f t="shared" si="5"/>
        <v>43101</v>
      </c>
      <c r="F340" t="s">
        <v>35</v>
      </c>
      <c r="G340" t="s">
        <v>27</v>
      </c>
      <c r="H340" t="s">
        <v>146</v>
      </c>
      <c r="I340" t="s">
        <v>51</v>
      </c>
      <c r="J340">
        <v>67</v>
      </c>
      <c r="K340">
        <v>8.82</v>
      </c>
      <c r="L340">
        <v>52.1</v>
      </c>
      <c r="M340" t="s">
        <v>24</v>
      </c>
      <c r="N340">
        <v>166.81</v>
      </c>
      <c r="O340">
        <v>78.760000000000005</v>
      </c>
      <c r="P340">
        <v>18</v>
      </c>
    </row>
    <row r="341" spans="1:16" x14ac:dyDescent="0.25">
      <c r="A341" t="s">
        <v>71</v>
      </c>
      <c r="B341" t="s">
        <v>16</v>
      </c>
      <c r="C341" t="s">
        <v>17</v>
      </c>
      <c r="D341">
        <v>2002</v>
      </c>
      <c r="E341" s="5">
        <f t="shared" si="5"/>
        <v>37257</v>
      </c>
      <c r="F341" t="s">
        <v>18</v>
      </c>
      <c r="G341" t="s">
        <v>69</v>
      </c>
      <c r="H341" t="s">
        <v>20</v>
      </c>
      <c r="I341" t="s">
        <v>21</v>
      </c>
      <c r="J341">
        <v>71</v>
      </c>
      <c r="K341">
        <v>21.34</v>
      </c>
      <c r="L341">
        <v>246.07</v>
      </c>
      <c r="M341" t="s">
        <v>24</v>
      </c>
      <c r="N341">
        <v>27.55</v>
      </c>
      <c r="O341">
        <v>197.88</v>
      </c>
      <c r="P341">
        <v>5</v>
      </c>
    </row>
    <row r="342" spans="1:16" x14ac:dyDescent="0.25">
      <c r="A342" t="s">
        <v>68</v>
      </c>
      <c r="B342" t="s">
        <v>16</v>
      </c>
      <c r="C342" t="s">
        <v>17</v>
      </c>
      <c r="D342">
        <v>2004</v>
      </c>
      <c r="E342" s="5">
        <f t="shared" si="5"/>
        <v>37987</v>
      </c>
      <c r="F342" t="s">
        <v>18</v>
      </c>
      <c r="G342" t="s">
        <v>28</v>
      </c>
      <c r="H342" t="s">
        <v>20</v>
      </c>
      <c r="I342" t="s">
        <v>21</v>
      </c>
      <c r="J342">
        <v>74</v>
      </c>
      <c r="K342">
        <v>8.93</v>
      </c>
      <c r="L342">
        <v>240.67</v>
      </c>
      <c r="M342" t="s">
        <v>22</v>
      </c>
      <c r="N342">
        <v>56.77</v>
      </c>
      <c r="O342">
        <v>32.29</v>
      </c>
      <c r="P342">
        <v>15</v>
      </c>
    </row>
    <row r="343" spans="1:16" x14ac:dyDescent="0.25">
      <c r="A343" t="s">
        <v>204</v>
      </c>
      <c r="B343" t="s">
        <v>205</v>
      </c>
      <c r="C343" t="s">
        <v>17</v>
      </c>
      <c r="D343">
        <v>2010</v>
      </c>
      <c r="E343" s="5">
        <f t="shared" si="5"/>
        <v>40179</v>
      </c>
      <c r="F343" t="s">
        <v>18</v>
      </c>
      <c r="G343" t="s">
        <v>26</v>
      </c>
      <c r="H343" t="s">
        <v>20</v>
      </c>
      <c r="I343" t="s">
        <v>21</v>
      </c>
      <c r="J343">
        <v>89</v>
      </c>
      <c r="K343">
        <v>2.29</v>
      </c>
      <c r="L343">
        <v>11.43</v>
      </c>
      <c r="M343" t="s">
        <v>24</v>
      </c>
      <c r="N343">
        <v>187.01</v>
      </c>
      <c r="O343">
        <v>104.26</v>
      </c>
      <c r="P343">
        <v>17</v>
      </c>
    </row>
    <row r="344" spans="1:16" x14ac:dyDescent="0.25">
      <c r="A344" t="s">
        <v>57</v>
      </c>
      <c r="B344" t="s">
        <v>54</v>
      </c>
      <c r="C344" t="s">
        <v>55</v>
      </c>
      <c r="D344">
        <v>2015</v>
      </c>
      <c r="E344" s="5">
        <f t="shared" si="5"/>
        <v>42005</v>
      </c>
      <c r="F344" t="s">
        <v>35</v>
      </c>
      <c r="G344" t="s">
        <v>27</v>
      </c>
      <c r="H344" t="s">
        <v>56</v>
      </c>
      <c r="I344" t="s">
        <v>21</v>
      </c>
      <c r="J344">
        <v>85</v>
      </c>
      <c r="K344">
        <v>4.43</v>
      </c>
      <c r="L344">
        <v>69.89</v>
      </c>
      <c r="M344" t="s">
        <v>24</v>
      </c>
      <c r="N344">
        <v>5.69</v>
      </c>
      <c r="O344">
        <v>31.22</v>
      </c>
      <c r="P344">
        <v>19</v>
      </c>
    </row>
    <row r="345" spans="1:16" x14ac:dyDescent="0.25">
      <c r="A345" t="s">
        <v>74</v>
      </c>
      <c r="B345" t="s">
        <v>75</v>
      </c>
      <c r="C345" t="s">
        <v>49</v>
      </c>
      <c r="D345">
        <v>2019</v>
      </c>
      <c r="E345" s="5">
        <f t="shared" si="5"/>
        <v>43466</v>
      </c>
      <c r="F345" t="s">
        <v>18</v>
      </c>
      <c r="G345" t="s">
        <v>28</v>
      </c>
      <c r="H345" t="s">
        <v>76</v>
      </c>
      <c r="I345" t="s">
        <v>21</v>
      </c>
      <c r="J345">
        <v>88</v>
      </c>
      <c r="K345">
        <v>9.7799999999999994</v>
      </c>
      <c r="L345">
        <v>59.48</v>
      </c>
      <c r="M345" t="s">
        <v>24</v>
      </c>
      <c r="N345">
        <v>65.53</v>
      </c>
      <c r="O345">
        <v>76.459999999999994</v>
      </c>
      <c r="P345">
        <v>5</v>
      </c>
    </row>
    <row r="346" spans="1:16" x14ac:dyDescent="0.25">
      <c r="A346" t="s">
        <v>147</v>
      </c>
      <c r="B346" t="s">
        <v>145</v>
      </c>
      <c r="C346" t="s">
        <v>145</v>
      </c>
      <c r="D346">
        <v>2012</v>
      </c>
      <c r="E346" s="5">
        <f t="shared" si="5"/>
        <v>40909</v>
      </c>
      <c r="F346" t="s">
        <v>35</v>
      </c>
      <c r="G346" t="s">
        <v>26</v>
      </c>
      <c r="H346" t="s">
        <v>76</v>
      </c>
      <c r="I346" t="s">
        <v>21</v>
      </c>
      <c r="J346">
        <v>89</v>
      </c>
      <c r="K346">
        <v>0.33</v>
      </c>
      <c r="L346">
        <v>4.7</v>
      </c>
      <c r="M346" t="s">
        <v>24</v>
      </c>
      <c r="N346">
        <v>159.05000000000001</v>
      </c>
      <c r="O346">
        <v>77.650000000000006</v>
      </c>
      <c r="P346">
        <v>9</v>
      </c>
    </row>
    <row r="347" spans="1:16" x14ac:dyDescent="0.25">
      <c r="A347" t="s">
        <v>108</v>
      </c>
      <c r="B347" t="s">
        <v>109</v>
      </c>
      <c r="C347" t="s">
        <v>110</v>
      </c>
      <c r="D347">
        <v>2011</v>
      </c>
      <c r="E347" s="5">
        <f t="shared" si="5"/>
        <v>40544</v>
      </c>
      <c r="F347" t="s">
        <v>18</v>
      </c>
      <c r="G347" t="s">
        <v>19</v>
      </c>
      <c r="H347" t="s">
        <v>76</v>
      </c>
      <c r="I347" t="s">
        <v>21</v>
      </c>
      <c r="J347">
        <v>93</v>
      </c>
      <c r="K347">
        <v>6.23</v>
      </c>
      <c r="L347">
        <v>68.11</v>
      </c>
      <c r="M347" t="s">
        <v>22</v>
      </c>
      <c r="N347">
        <v>12.85</v>
      </c>
      <c r="O347">
        <v>54.2</v>
      </c>
      <c r="P347">
        <v>16</v>
      </c>
    </row>
    <row r="348" spans="1:16" x14ac:dyDescent="0.25">
      <c r="A348" t="s">
        <v>46</v>
      </c>
      <c r="B348" t="s">
        <v>41</v>
      </c>
      <c r="C348" t="s">
        <v>42</v>
      </c>
      <c r="D348">
        <v>2017</v>
      </c>
      <c r="E348" s="5">
        <f t="shared" si="5"/>
        <v>42736</v>
      </c>
      <c r="F348" t="s">
        <v>35</v>
      </c>
      <c r="G348" t="s">
        <v>27</v>
      </c>
      <c r="H348" t="s">
        <v>43</v>
      </c>
      <c r="I348" t="s">
        <v>21</v>
      </c>
      <c r="J348">
        <v>74</v>
      </c>
      <c r="K348">
        <v>24.5</v>
      </c>
      <c r="L348">
        <v>54.22</v>
      </c>
      <c r="M348" t="s">
        <v>24</v>
      </c>
      <c r="N348">
        <v>83.2</v>
      </c>
      <c r="O348">
        <v>49.1</v>
      </c>
      <c r="P348">
        <v>11</v>
      </c>
    </row>
    <row r="349" spans="1:16" x14ac:dyDescent="0.25">
      <c r="A349" t="s">
        <v>29</v>
      </c>
      <c r="B349" t="s">
        <v>16</v>
      </c>
      <c r="C349" t="s">
        <v>17</v>
      </c>
      <c r="D349">
        <v>2008</v>
      </c>
      <c r="E349" s="5">
        <f t="shared" si="5"/>
        <v>39448</v>
      </c>
      <c r="F349" t="s">
        <v>18</v>
      </c>
      <c r="G349" t="s">
        <v>28</v>
      </c>
      <c r="H349" t="s">
        <v>20</v>
      </c>
      <c r="I349" t="s">
        <v>21</v>
      </c>
      <c r="J349">
        <v>87</v>
      </c>
      <c r="K349">
        <v>5.97</v>
      </c>
      <c r="L349">
        <v>134</v>
      </c>
      <c r="M349" t="s">
        <v>22</v>
      </c>
      <c r="N349">
        <v>52.74</v>
      </c>
      <c r="O349">
        <v>32.549999999999997</v>
      </c>
      <c r="P349">
        <v>7</v>
      </c>
    </row>
    <row r="350" spans="1:16" x14ac:dyDescent="0.25">
      <c r="A350" t="s">
        <v>100</v>
      </c>
      <c r="B350" t="s">
        <v>41</v>
      </c>
      <c r="C350" t="s">
        <v>42</v>
      </c>
      <c r="D350">
        <v>2014</v>
      </c>
      <c r="E350" s="5">
        <f t="shared" si="5"/>
        <v>41640</v>
      </c>
      <c r="F350" t="s">
        <v>98</v>
      </c>
      <c r="G350" t="s">
        <v>26</v>
      </c>
      <c r="H350" t="s">
        <v>99</v>
      </c>
      <c r="I350" t="s">
        <v>21</v>
      </c>
      <c r="J350">
        <v>79</v>
      </c>
      <c r="K350">
        <v>21.71</v>
      </c>
      <c r="L350">
        <v>5.29</v>
      </c>
      <c r="M350" t="s">
        <v>22</v>
      </c>
      <c r="N350">
        <v>62.38</v>
      </c>
      <c r="O350">
        <v>106.97</v>
      </c>
      <c r="P350">
        <v>6</v>
      </c>
    </row>
    <row r="351" spans="1:16" x14ac:dyDescent="0.25">
      <c r="A351" t="s">
        <v>108</v>
      </c>
      <c r="B351" t="s">
        <v>109</v>
      </c>
      <c r="C351" t="s">
        <v>110</v>
      </c>
      <c r="D351">
        <v>2011</v>
      </c>
      <c r="E351" s="5">
        <f t="shared" si="5"/>
        <v>40544</v>
      </c>
      <c r="F351" t="s">
        <v>18</v>
      </c>
      <c r="G351" t="s">
        <v>19</v>
      </c>
      <c r="H351" t="s">
        <v>76</v>
      </c>
      <c r="I351" t="s">
        <v>21</v>
      </c>
      <c r="J351">
        <v>95</v>
      </c>
      <c r="K351">
        <v>8.92</v>
      </c>
      <c r="L351">
        <v>68.11</v>
      </c>
      <c r="M351" t="s">
        <v>22</v>
      </c>
      <c r="N351">
        <v>12.85</v>
      </c>
      <c r="O351">
        <v>62.48</v>
      </c>
      <c r="P351">
        <v>14</v>
      </c>
    </row>
    <row r="352" spans="1:16" x14ac:dyDescent="0.25">
      <c r="A352" t="s">
        <v>108</v>
      </c>
      <c r="B352" t="s">
        <v>109</v>
      </c>
      <c r="C352" t="s">
        <v>110</v>
      </c>
      <c r="D352">
        <v>2011</v>
      </c>
      <c r="E352" s="5">
        <f t="shared" si="5"/>
        <v>40544</v>
      </c>
      <c r="F352" t="s">
        <v>18</v>
      </c>
      <c r="G352" t="s">
        <v>19</v>
      </c>
      <c r="H352" t="s">
        <v>76</v>
      </c>
      <c r="I352" t="s">
        <v>21</v>
      </c>
      <c r="J352">
        <v>97</v>
      </c>
      <c r="K352">
        <v>10.37</v>
      </c>
      <c r="L352">
        <v>68.11</v>
      </c>
      <c r="M352" t="s">
        <v>22</v>
      </c>
      <c r="N352">
        <v>12.85</v>
      </c>
      <c r="O352">
        <v>58.72</v>
      </c>
      <c r="P352">
        <v>14</v>
      </c>
    </row>
    <row r="353" spans="1:16" x14ac:dyDescent="0.25">
      <c r="A353" t="s">
        <v>72</v>
      </c>
      <c r="B353" t="s">
        <v>73</v>
      </c>
      <c r="C353" t="s">
        <v>49</v>
      </c>
      <c r="D353">
        <v>2020</v>
      </c>
      <c r="E353" s="5">
        <f t="shared" si="5"/>
        <v>43831</v>
      </c>
      <c r="F353" t="s">
        <v>18</v>
      </c>
      <c r="G353" t="s">
        <v>23</v>
      </c>
      <c r="H353" t="s">
        <v>50</v>
      </c>
      <c r="I353" t="s">
        <v>51</v>
      </c>
      <c r="J353">
        <v>81</v>
      </c>
      <c r="K353">
        <v>3.99</v>
      </c>
      <c r="L353">
        <v>174.6</v>
      </c>
      <c r="M353" t="s">
        <v>22</v>
      </c>
      <c r="N353">
        <v>113.11</v>
      </c>
      <c r="O353">
        <v>57.56</v>
      </c>
      <c r="P353">
        <v>11</v>
      </c>
    </row>
    <row r="354" spans="1:16" x14ac:dyDescent="0.25">
      <c r="A354" t="s">
        <v>111</v>
      </c>
      <c r="B354" t="s">
        <v>112</v>
      </c>
      <c r="C354" t="s">
        <v>113</v>
      </c>
      <c r="D354">
        <v>2016</v>
      </c>
      <c r="E354" s="5">
        <f t="shared" si="5"/>
        <v>42370</v>
      </c>
      <c r="F354" t="s">
        <v>18</v>
      </c>
      <c r="G354" t="s">
        <v>23</v>
      </c>
      <c r="H354" t="s">
        <v>76</v>
      </c>
      <c r="I354" t="s">
        <v>21</v>
      </c>
      <c r="J354">
        <v>76</v>
      </c>
      <c r="K354">
        <v>7.34</v>
      </c>
      <c r="L354">
        <v>137.97</v>
      </c>
      <c r="M354" t="s">
        <v>22</v>
      </c>
      <c r="N354">
        <v>93.69</v>
      </c>
      <c r="O354">
        <v>42.48</v>
      </c>
      <c r="P354">
        <v>10</v>
      </c>
    </row>
    <row r="355" spans="1:16" x14ac:dyDescent="0.25">
      <c r="A355" t="s">
        <v>154</v>
      </c>
      <c r="B355" t="s">
        <v>155</v>
      </c>
      <c r="C355" t="s">
        <v>156</v>
      </c>
      <c r="D355">
        <v>2022</v>
      </c>
      <c r="E355" s="5">
        <f t="shared" si="5"/>
        <v>44562</v>
      </c>
      <c r="F355" t="s">
        <v>157</v>
      </c>
      <c r="G355" t="s">
        <v>27</v>
      </c>
      <c r="H355" t="s">
        <v>158</v>
      </c>
      <c r="I355" t="s">
        <v>21</v>
      </c>
      <c r="J355">
        <v>97</v>
      </c>
      <c r="K355">
        <v>71.75</v>
      </c>
      <c r="L355">
        <v>57.31</v>
      </c>
      <c r="M355" t="s">
        <v>22</v>
      </c>
      <c r="N355">
        <v>88.68</v>
      </c>
      <c r="O355">
        <v>412.1</v>
      </c>
      <c r="P355">
        <v>20</v>
      </c>
    </row>
    <row r="356" spans="1:16" x14ac:dyDescent="0.25">
      <c r="A356" t="s">
        <v>114</v>
      </c>
      <c r="B356" t="s">
        <v>78</v>
      </c>
      <c r="C356" t="s">
        <v>115</v>
      </c>
      <c r="D356">
        <v>2015</v>
      </c>
      <c r="E356" s="5">
        <f t="shared" si="5"/>
        <v>42005</v>
      </c>
      <c r="F356" t="s">
        <v>18</v>
      </c>
      <c r="G356" t="s">
        <v>19</v>
      </c>
      <c r="H356" t="s">
        <v>116</v>
      </c>
      <c r="I356" t="s">
        <v>21</v>
      </c>
      <c r="J356">
        <v>96</v>
      </c>
      <c r="K356">
        <v>3.06</v>
      </c>
      <c r="L356">
        <v>220.33</v>
      </c>
      <c r="M356" t="s">
        <v>22</v>
      </c>
      <c r="N356">
        <v>99.52</v>
      </c>
      <c r="O356">
        <v>47.1</v>
      </c>
      <c r="P356">
        <v>19</v>
      </c>
    </row>
    <row r="357" spans="1:16" x14ac:dyDescent="0.25">
      <c r="A357" t="s">
        <v>71</v>
      </c>
      <c r="B357" t="s">
        <v>16</v>
      </c>
      <c r="C357" t="s">
        <v>17</v>
      </c>
      <c r="D357">
        <v>2002</v>
      </c>
      <c r="E357" s="5">
        <f t="shared" si="5"/>
        <v>37257</v>
      </c>
      <c r="F357" t="s">
        <v>18</v>
      </c>
      <c r="G357" t="s">
        <v>69</v>
      </c>
      <c r="H357" t="s">
        <v>20</v>
      </c>
      <c r="I357" t="s">
        <v>21</v>
      </c>
      <c r="J357">
        <v>71</v>
      </c>
      <c r="K357">
        <v>21.23</v>
      </c>
      <c r="L357">
        <v>246.07</v>
      </c>
      <c r="M357" t="s">
        <v>24</v>
      </c>
      <c r="N357">
        <v>27.55</v>
      </c>
      <c r="O357">
        <v>173.36</v>
      </c>
      <c r="P357">
        <v>5</v>
      </c>
    </row>
    <row r="358" spans="1:16" x14ac:dyDescent="0.25">
      <c r="A358" t="s">
        <v>117</v>
      </c>
      <c r="B358" t="s">
        <v>118</v>
      </c>
      <c r="C358" t="s">
        <v>119</v>
      </c>
      <c r="D358">
        <v>2015</v>
      </c>
      <c r="E358" s="5">
        <f t="shared" si="5"/>
        <v>42005</v>
      </c>
      <c r="F358" t="s">
        <v>18</v>
      </c>
      <c r="G358" t="s">
        <v>23</v>
      </c>
      <c r="H358" t="s">
        <v>120</v>
      </c>
      <c r="I358" t="s">
        <v>21</v>
      </c>
      <c r="J358">
        <v>71</v>
      </c>
      <c r="K358">
        <v>5.12</v>
      </c>
      <c r="L358">
        <v>136.31</v>
      </c>
      <c r="M358" t="s">
        <v>22</v>
      </c>
      <c r="N358">
        <v>93.79</v>
      </c>
      <c r="O358">
        <v>50.57</v>
      </c>
      <c r="P358">
        <v>6</v>
      </c>
    </row>
    <row r="359" spans="1:16" x14ac:dyDescent="0.25">
      <c r="A359" t="s">
        <v>44</v>
      </c>
      <c r="B359" t="s">
        <v>45</v>
      </c>
      <c r="C359" t="s">
        <v>42</v>
      </c>
      <c r="D359">
        <v>2018</v>
      </c>
      <c r="E359" s="5">
        <f t="shared" si="5"/>
        <v>43101</v>
      </c>
      <c r="F359" t="s">
        <v>35</v>
      </c>
      <c r="G359" t="s">
        <v>28</v>
      </c>
      <c r="H359" t="s">
        <v>43</v>
      </c>
      <c r="I359" t="s">
        <v>21</v>
      </c>
      <c r="J359">
        <v>72</v>
      </c>
      <c r="K359">
        <v>24.23</v>
      </c>
      <c r="L359">
        <v>70.36</v>
      </c>
      <c r="M359" t="s">
        <v>24</v>
      </c>
      <c r="N359">
        <v>53.71</v>
      </c>
      <c r="O359">
        <v>201.36</v>
      </c>
      <c r="P359">
        <v>15</v>
      </c>
    </row>
    <row r="360" spans="1:16" x14ac:dyDescent="0.25">
      <c r="A360" t="s">
        <v>38</v>
      </c>
      <c r="B360" t="s">
        <v>33</v>
      </c>
      <c r="C360" t="s">
        <v>34</v>
      </c>
      <c r="D360">
        <v>2020</v>
      </c>
      <c r="E360" s="5">
        <f t="shared" si="5"/>
        <v>43831</v>
      </c>
      <c r="F360" t="s">
        <v>35</v>
      </c>
      <c r="G360" t="s">
        <v>28</v>
      </c>
      <c r="H360" t="s">
        <v>36</v>
      </c>
      <c r="I360" t="s">
        <v>21</v>
      </c>
      <c r="J360">
        <v>79</v>
      </c>
      <c r="K360">
        <v>9.9600000000000009</v>
      </c>
      <c r="L360">
        <v>232.3</v>
      </c>
      <c r="M360" t="s">
        <v>24</v>
      </c>
      <c r="N360">
        <v>152.28</v>
      </c>
      <c r="O360">
        <v>80.86</v>
      </c>
      <c r="P360">
        <v>8</v>
      </c>
    </row>
    <row r="361" spans="1:16" x14ac:dyDescent="0.25">
      <c r="A361" t="s">
        <v>80</v>
      </c>
      <c r="B361" t="s">
        <v>81</v>
      </c>
      <c r="C361" t="s">
        <v>82</v>
      </c>
      <c r="D361">
        <v>2011</v>
      </c>
      <c r="E361" s="5">
        <f t="shared" si="5"/>
        <v>40544</v>
      </c>
      <c r="F361" t="s">
        <v>83</v>
      </c>
      <c r="G361" t="s">
        <v>28</v>
      </c>
      <c r="H361" t="s">
        <v>84</v>
      </c>
      <c r="I361" t="s">
        <v>85</v>
      </c>
      <c r="J361">
        <v>86</v>
      </c>
      <c r="K361">
        <v>66.44</v>
      </c>
      <c r="L361">
        <v>110.53</v>
      </c>
      <c r="M361" t="s">
        <v>24</v>
      </c>
      <c r="N361">
        <v>144.13999999999999</v>
      </c>
      <c r="O361">
        <v>167.38</v>
      </c>
      <c r="P361">
        <v>11</v>
      </c>
    </row>
    <row r="362" spans="1:16" x14ac:dyDescent="0.25">
      <c r="A362" t="s">
        <v>32</v>
      </c>
      <c r="B362" t="s">
        <v>33</v>
      </c>
      <c r="C362" t="s">
        <v>34</v>
      </c>
      <c r="D362">
        <v>2015</v>
      </c>
      <c r="E362" s="5">
        <f t="shared" si="5"/>
        <v>42005</v>
      </c>
      <c r="F362" t="s">
        <v>35</v>
      </c>
      <c r="G362" t="s">
        <v>23</v>
      </c>
      <c r="H362" t="s">
        <v>36</v>
      </c>
      <c r="I362" t="s">
        <v>21</v>
      </c>
      <c r="J362">
        <v>62</v>
      </c>
      <c r="K362">
        <v>194.22</v>
      </c>
      <c r="L362">
        <v>39.06</v>
      </c>
      <c r="M362" t="s">
        <v>24</v>
      </c>
      <c r="N362">
        <v>36.200000000000003</v>
      </c>
      <c r="O362">
        <v>1665.96</v>
      </c>
      <c r="P362">
        <v>20</v>
      </c>
    </row>
    <row r="363" spans="1:16" x14ac:dyDescent="0.25">
      <c r="A363" t="s">
        <v>114</v>
      </c>
      <c r="B363" t="s">
        <v>78</v>
      </c>
      <c r="C363" t="s">
        <v>115</v>
      </c>
      <c r="D363">
        <v>2015</v>
      </c>
      <c r="E363" s="5">
        <f t="shared" si="5"/>
        <v>42005</v>
      </c>
      <c r="F363" t="s">
        <v>18</v>
      </c>
      <c r="G363" t="s">
        <v>28</v>
      </c>
      <c r="H363" t="s">
        <v>116</v>
      </c>
      <c r="I363" t="s">
        <v>21</v>
      </c>
      <c r="J363">
        <v>67</v>
      </c>
      <c r="K363">
        <v>9.01</v>
      </c>
      <c r="L363">
        <v>213.75</v>
      </c>
      <c r="M363" t="s">
        <v>24</v>
      </c>
      <c r="N363">
        <v>71.28</v>
      </c>
      <c r="O363">
        <v>74.959999999999994</v>
      </c>
      <c r="P363">
        <v>9</v>
      </c>
    </row>
    <row r="364" spans="1:16" x14ac:dyDescent="0.25">
      <c r="A364" t="s">
        <v>108</v>
      </c>
      <c r="B364" t="s">
        <v>109</v>
      </c>
      <c r="C364" t="s">
        <v>110</v>
      </c>
      <c r="D364">
        <v>2011</v>
      </c>
      <c r="E364" s="5">
        <f t="shared" si="5"/>
        <v>40544</v>
      </c>
      <c r="F364" t="s">
        <v>18</v>
      </c>
      <c r="G364" t="s">
        <v>28</v>
      </c>
      <c r="H364" t="s">
        <v>76</v>
      </c>
      <c r="I364" t="s">
        <v>21</v>
      </c>
      <c r="J364">
        <v>74</v>
      </c>
      <c r="K364">
        <v>3.25</v>
      </c>
      <c r="L364">
        <v>27.05</v>
      </c>
      <c r="M364" t="s">
        <v>22</v>
      </c>
      <c r="N364">
        <v>36.36</v>
      </c>
      <c r="O364">
        <v>16.690000000000001</v>
      </c>
      <c r="P364">
        <v>16</v>
      </c>
    </row>
    <row r="365" spans="1:16" x14ac:dyDescent="0.25">
      <c r="A365" t="s">
        <v>97</v>
      </c>
      <c r="B365" t="s">
        <v>41</v>
      </c>
      <c r="C365" t="s">
        <v>42</v>
      </c>
      <c r="D365">
        <v>2012</v>
      </c>
      <c r="E365" s="5">
        <f t="shared" si="5"/>
        <v>40909</v>
      </c>
      <c r="F365" t="s">
        <v>98</v>
      </c>
      <c r="G365" t="s">
        <v>19</v>
      </c>
      <c r="H365" t="s">
        <v>99</v>
      </c>
      <c r="I365" t="s">
        <v>21</v>
      </c>
      <c r="J365">
        <v>92</v>
      </c>
      <c r="K365">
        <v>24.09</v>
      </c>
      <c r="L365">
        <v>162.96</v>
      </c>
      <c r="M365" t="s">
        <v>22</v>
      </c>
      <c r="N365">
        <v>125.1</v>
      </c>
      <c r="O365">
        <v>216.03</v>
      </c>
      <c r="P365">
        <v>14</v>
      </c>
    </row>
    <row r="366" spans="1:16" x14ac:dyDescent="0.25">
      <c r="A366" t="s">
        <v>159</v>
      </c>
      <c r="B366" t="s">
        <v>155</v>
      </c>
      <c r="C366" t="s">
        <v>156</v>
      </c>
      <c r="D366">
        <v>2016</v>
      </c>
      <c r="E366" s="5">
        <f t="shared" si="5"/>
        <v>42370</v>
      </c>
      <c r="F366" t="s">
        <v>157</v>
      </c>
      <c r="G366" t="s">
        <v>28</v>
      </c>
      <c r="H366" t="s">
        <v>158</v>
      </c>
      <c r="I366" t="s">
        <v>21</v>
      </c>
      <c r="J366">
        <v>88</v>
      </c>
      <c r="K366">
        <v>0.65</v>
      </c>
      <c r="L366">
        <v>21.31</v>
      </c>
      <c r="M366" t="s">
        <v>22</v>
      </c>
      <c r="N366">
        <v>91.41</v>
      </c>
      <c r="O366">
        <v>51.9</v>
      </c>
      <c r="P366">
        <v>19</v>
      </c>
    </row>
    <row r="367" spans="1:16" x14ac:dyDescent="0.25">
      <c r="A367" t="s">
        <v>117</v>
      </c>
      <c r="B367" t="s">
        <v>118</v>
      </c>
      <c r="C367" t="s">
        <v>119</v>
      </c>
      <c r="D367">
        <v>2015</v>
      </c>
      <c r="E367" s="5">
        <f t="shared" si="5"/>
        <v>42005</v>
      </c>
      <c r="F367" t="s">
        <v>18</v>
      </c>
      <c r="G367" t="s">
        <v>23</v>
      </c>
      <c r="H367" t="s">
        <v>120</v>
      </c>
      <c r="I367" t="s">
        <v>21</v>
      </c>
      <c r="J367">
        <v>71</v>
      </c>
      <c r="K367">
        <v>5.24</v>
      </c>
      <c r="L367">
        <v>136.31</v>
      </c>
      <c r="M367" t="s">
        <v>22</v>
      </c>
      <c r="N367">
        <v>93.79</v>
      </c>
      <c r="O367">
        <v>50.06</v>
      </c>
      <c r="P367">
        <v>5</v>
      </c>
    </row>
    <row r="368" spans="1:16" x14ac:dyDescent="0.25">
      <c r="A368" t="s">
        <v>192</v>
      </c>
      <c r="B368" t="s">
        <v>193</v>
      </c>
      <c r="C368" t="s">
        <v>194</v>
      </c>
      <c r="D368">
        <v>2021</v>
      </c>
      <c r="E368" s="5">
        <f t="shared" si="5"/>
        <v>44197</v>
      </c>
      <c r="F368" t="s">
        <v>35</v>
      </c>
      <c r="G368" t="s">
        <v>27</v>
      </c>
      <c r="H368" t="s">
        <v>92</v>
      </c>
      <c r="I368" t="s">
        <v>51</v>
      </c>
      <c r="J368">
        <v>91</v>
      </c>
      <c r="K368">
        <v>1.24</v>
      </c>
      <c r="L368">
        <v>178.96</v>
      </c>
      <c r="M368" t="s">
        <v>24</v>
      </c>
      <c r="N368">
        <v>70.38</v>
      </c>
      <c r="O368">
        <v>39.869999999999997</v>
      </c>
      <c r="P368">
        <v>2</v>
      </c>
    </row>
    <row r="369" spans="1:16" x14ac:dyDescent="0.25">
      <c r="A369" t="s">
        <v>87</v>
      </c>
      <c r="B369" t="s">
        <v>88</v>
      </c>
      <c r="C369" t="s">
        <v>88</v>
      </c>
      <c r="D369">
        <v>2016</v>
      </c>
      <c r="E369" s="5">
        <f t="shared" si="5"/>
        <v>42370</v>
      </c>
      <c r="F369" t="s">
        <v>89</v>
      </c>
      <c r="G369" t="s">
        <v>23</v>
      </c>
      <c r="H369" t="s">
        <v>84</v>
      </c>
      <c r="I369" t="s">
        <v>85</v>
      </c>
      <c r="J369">
        <v>82</v>
      </c>
      <c r="K369">
        <v>4.3</v>
      </c>
      <c r="L369">
        <v>136.11000000000001</v>
      </c>
      <c r="M369" t="s">
        <v>24</v>
      </c>
      <c r="N369">
        <v>86.08</v>
      </c>
      <c r="O369">
        <v>39.479999999999997</v>
      </c>
      <c r="P369">
        <v>13</v>
      </c>
    </row>
    <row r="370" spans="1:16" x14ac:dyDescent="0.25">
      <c r="A370" t="s">
        <v>192</v>
      </c>
      <c r="B370" t="s">
        <v>193</v>
      </c>
      <c r="C370" t="s">
        <v>194</v>
      </c>
      <c r="D370">
        <v>2021</v>
      </c>
      <c r="E370" s="5">
        <f t="shared" si="5"/>
        <v>44197</v>
      </c>
      <c r="F370" t="s">
        <v>35</v>
      </c>
      <c r="G370" t="s">
        <v>25</v>
      </c>
      <c r="H370" t="s">
        <v>92</v>
      </c>
      <c r="I370" t="s">
        <v>51</v>
      </c>
      <c r="J370">
        <v>78</v>
      </c>
      <c r="K370">
        <v>5.37</v>
      </c>
      <c r="L370">
        <v>59.71</v>
      </c>
      <c r="M370" t="s">
        <v>24</v>
      </c>
      <c r="N370">
        <v>198.93</v>
      </c>
      <c r="O370">
        <v>101.11</v>
      </c>
      <c r="P370">
        <v>0</v>
      </c>
    </row>
    <row r="371" spans="1:16" x14ac:dyDescent="0.25">
      <c r="A371" t="s">
        <v>102</v>
      </c>
      <c r="B371" t="s">
        <v>96</v>
      </c>
      <c r="C371" t="s">
        <v>42</v>
      </c>
      <c r="D371">
        <v>2021</v>
      </c>
      <c r="E371" s="5">
        <f t="shared" si="5"/>
        <v>44197</v>
      </c>
      <c r="F371" t="s">
        <v>98</v>
      </c>
      <c r="G371" t="s">
        <v>28</v>
      </c>
      <c r="H371" t="s">
        <v>99</v>
      </c>
      <c r="I371" t="s">
        <v>21</v>
      </c>
      <c r="J371">
        <v>84</v>
      </c>
      <c r="K371">
        <v>6.31</v>
      </c>
      <c r="L371">
        <v>190.92</v>
      </c>
      <c r="M371" t="s">
        <v>24</v>
      </c>
      <c r="N371">
        <v>126.98</v>
      </c>
      <c r="O371">
        <v>74.709999999999994</v>
      </c>
      <c r="P371">
        <v>2</v>
      </c>
    </row>
    <row r="372" spans="1:16" x14ac:dyDescent="0.25">
      <c r="A372" t="s">
        <v>57</v>
      </c>
      <c r="B372" t="s">
        <v>54</v>
      </c>
      <c r="C372" t="s">
        <v>55</v>
      </c>
      <c r="D372">
        <v>2015</v>
      </c>
      <c r="E372" s="5">
        <f t="shared" si="5"/>
        <v>42005</v>
      </c>
      <c r="F372" t="s">
        <v>35</v>
      </c>
      <c r="G372" t="s">
        <v>28</v>
      </c>
      <c r="H372" t="s">
        <v>56</v>
      </c>
      <c r="I372" t="s">
        <v>21</v>
      </c>
      <c r="J372">
        <v>68</v>
      </c>
      <c r="K372">
        <v>8.31</v>
      </c>
      <c r="L372">
        <v>138.37</v>
      </c>
      <c r="M372" t="s">
        <v>24</v>
      </c>
      <c r="N372">
        <v>88.4</v>
      </c>
      <c r="O372">
        <v>42.31</v>
      </c>
      <c r="P372">
        <v>2</v>
      </c>
    </row>
    <row r="373" spans="1:16" x14ac:dyDescent="0.25">
      <c r="A373" t="s">
        <v>175</v>
      </c>
      <c r="B373" t="s">
        <v>176</v>
      </c>
      <c r="C373" t="s">
        <v>177</v>
      </c>
      <c r="D373">
        <v>2021</v>
      </c>
      <c r="E373" s="5">
        <f t="shared" si="5"/>
        <v>44197</v>
      </c>
      <c r="F373" t="s">
        <v>89</v>
      </c>
      <c r="G373" t="s">
        <v>25</v>
      </c>
      <c r="H373" t="s">
        <v>131</v>
      </c>
      <c r="I373" t="s">
        <v>167</v>
      </c>
      <c r="J373">
        <v>91</v>
      </c>
      <c r="K373">
        <v>8.7799999999999994</v>
      </c>
      <c r="L373">
        <v>163.31</v>
      </c>
      <c r="M373" t="s">
        <v>24</v>
      </c>
      <c r="N373">
        <v>67.7</v>
      </c>
      <c r="O373">
        <v>39.1</v>
      </c>
      <c r="P373">
        <v>3</v>
      </c>
    </row>
    <row r="374" spans="1:16" x14ac:dyDescent="0.25">
      <c r="A374" t="s">
        <v>100</v>
      </c>
      <c r="B374" t="s">
        <v>41</v>
      </c>
      <c r="C374" t="s">
        <v>42</v>
      </c>
      <c r="D374">
        <v>2014</v>
      </c>
      <c r="E374" s="5">
        <f t="shared" si="5"/>
        <v>41640</v>
      </c>
      <c r="F374" t="s">
        <v>98</v>
      </c>
      <c r="G374" t="s">
        <v>28</v>
      </c>
      <c r="H374" t="s">
        <v>99</v>
      </c>
      <c r="I374" t="s">
        <v>21</v>
      </c>
      <c r="J374">
        <v>73</v>
      </c>
      <c r="K374">
        <v>15.4</v>
      </c>
      <c r="L374">
        <v>58.4</v>
      </c>
      <c r="M374" t="s">
        <v>24</v>
      </c>
      <c r="N374">
        <v>145.65</v>
      </c>
      <c r="O374">
        <v>81.37</v>
      </c>
      <c r="P374">
        <v>18</v>
      </c>
    </row>
    <row r="375" spans="1:16" x14ac:dyDescent="0.25">
      <c r="A375" t="s">
        <v>108</v>
      </c>
      <c r="B375" t="s">
        <v>109</v>
      </c>
      <c r="C375" t="s">
        <v>110</v>
      </c>
      <c r="D375">
        <v>2011</v>
      </c>
      <c r="E375" s="5">
        <f t="shared" si="5"/>
        <v>40544</v>
      </c>
      <c r="F375" t="s">
        <v>18</v>
      </c>
      <c r="G375" t="s">
        <v>19</v>
      </c>
      <c r="H375" t="s">
        <v>76</v>
      </c>
      <c r="I375" t="s">
        <v>21</v>
      </c>
      <c r="J375">
        <v>92</v>
      </c>
      <c r="K375">
        <v>6.51</v>
      </c>
      <c r="L375">
        <v>68.11</v>
      </c>
      <c r="M375" t="s">
        <v>22</v>
      </c>
      <c r="N375">
        <v>12.85</v>
      </c>
      <c r="O375">
        <v>61.85</v>
      </c>
      <c r="P375">
        <v>15</v>
      </c>
    </row>
    <row r="376" spans="1:16" x14ac:dyDescent="0.25">
      <c r="A376" t="s">
        <v>29</v>
      </c>
      <c r="B376" t="s">
        <v>16</v>
      </c>
      <c r="C376" t="s">
        <v>17</v>
      </c>
      <c r="D376">
        <v>2008</v>
      </c>
      <c r="E376" s="5">
        <f t="shared" si="5"/>
        <v>39448</v>
      </c>
      <c r="F376" t="s">
        <v>18</v>
      </c>
      <c r="G376" t="s">
        <v>26</v>
      </c>
      <c r="H376" t="s">
        <v>20</v>
      </c>
      <c r="I376" t="s">
        <v>21</v>
      </c>
      <c r="J376">
        <v>82</v>
      </c>
      <c r="K376">
        <v>7.55</v>
      </c>
      <c r="L376">
        <v>91.84</v>
      </c>
      <c r="M376" t="s">
        <v>22</v>
      </c>
      <c r="N376">
        <v>77.19</v>
      </c>
      <c r="O376">
        <v>45.87</v>
      </c>
      <c r="P376">
        <v>7</v>
      </c>
    </row>
    <row r="377" spans="1:16" x14ac:dyDescent="0.25">
      <c r="A377" t="s">
        <v>44</v>
      </c>
      <c r="B377" t="s">
        <v>45</v>
      </c>
      <c r="C377" t="s">
        <v>42</v>
      </c>
      <c r="D377">
        <v>2018</v>
      </c>
      <c r="E377" s="5">
        <f t="shared" si="5"/>
        <v>43101</v>
      </c>
      <c r="F377" t="s">
        <v>35</v>
      </c>
      <c r="G377" t="s">
        <v>28</v>
      </c>
      <c r="H377" t="s">
        <v>43</v>
      </c>
      <c r="I377" t="s">
        <v>21</v>
      </c>
      <c r="J377">
        <v>69</v>
      </c>
      <c r="K377">
        <v>22.64</v>
      </c>
      <c r="L377">
        <v>70.36</v>
      </c>
      <c r="M377" t="s">
        <v>24</v>
      </c>
      <c r="N377">
        <v>53.71</v>
      </c>
      <c r="O377">
        <v>207.25</v>
      </c>
      <c r="P377">
        <v>13</v>
      </c>
    </row>
    <row r="378" spans="1:16" x14ac:dyDescent="0.25">
      <c r="A378" t="s">
        <v>117</v>
      </c>
      <c r="B378" t="s">
        <v>118</v>
      </c>
      <c r="C378" t="s">
        <v>119</v>
      </c>
      <c r="D378">
        <v>2015</v>
      </c>
      <c r="E378" s="5">
        <f t="shared" si="5"/>
        <v>42005</v>
      </c>
      <c r="F378" t="s">
        <v>18</v>
      </c>
      <c r="G378" t="s">
        <v>19</v>
      </c>
      <c r="H378" t="s">
        <v>120</v>
      </c>
      <c r="I378" t="s">
        <v>21</v>
      </c>
      <c r="J378">
        <v>78</v>
      </c>
      <c r="K378">
        <v>8.36</v>
      </c>
      <c r="L378">
        <v>145.4</v>
      </c>
      <c r="M378" t="s">
        <v>22</v>
      </c>
      <c r="N378">
        <v>133.69</v>
      </c>
      <c r="O378">
        <v>72.62</v>
      </c>
      <c r="P378">
        <v>14</v>
      </c>
    </row>
    <row r="379" spans="1:16" x14ac:dyDescent="0.25">
      <c r="A379" t="s">
        <v>117</v>
      </c>
      <c r="B379" t="s">
        <v>118</v>
      </c>
      <c r="C379" t="s">
        <v>119</v>
      </c>
      <c r="D379">
        <v>2015</v>
      </c>
      <c r="E379" s="5">
        <f t="shared" si="5"/>
        <v>42005</v>
      </c>
      <c r="F379" t="s">
        <v>18</v>
      </c>
      <c r="G379" t="s">
        <v>23</v>
      </c>
      <c r="H379" t="s">
        <v>120</v>
      </c>
      <c r="I379" t="s">
        <v>21</v>
      </c>
      <c r="J379">
        <v>75</v>
      </c>
      <c r="K379">
        <v>5.25</v>
      </c>
      <c r="L379">
        <v>136.31</v>
      </c>
      <c r="M379" t="s">
        <v>22</v>
      </c>
      <c r="N379">
        <v>93.79</v>
      </c>
      <c r="O379">
        <v>47.49</v>
      </c>
      <c r="P379">
        <v>6</v>
      </c>
    </row>
    <row r="380" spans="1:16" x14ac:dyDescent="0.25">
      <c r="A380" t="s">
        <v>46</v>
      </c>
      <c r="B380" t="s">
        <v>41</v>
      </c>
      <c r="C380" t="s">
        <v>42</v>
      </c>
      <c r="D380">
        <v>2017</v>
      </c>
      <c r="E380" s="5">
        <f t="shared" si="5"/>
        <v>42736</v>
      </c>
      <c r="F380" t="s">
        <v>35</v>
      </c>
      <c r="G380" t="s">
        <v>28</v>
      </c>
      <c r="H380" t="s">
        <v>43</v>
      </c>
      <c r="I380" t="s">
        <v>21</v>
      </c>
      <c r="J380">
        <v>83</v>
      </c>
      <c r="K380">
        <v>13.09</v>
      </c>
      <c r="L380">
        <v>196.23</v>
      </c>
      <c r="M380" t="s">
        <v>24</v>
      </c>
      <c r="N380">
        <v>93.73</v>
      </c>
      <c r="O380">
        <v>63.79</v>
      </c>
      <c r="P380">
        <v>17</v>
      </c>
    </row>
    <row r="381" spans="1:16" x14ac:dyDescent="0.25">
      <c r="A381" t="s">
        <v>150</v>
      </c>
      <c r="B381" t="s">
        <v>151</v>
      </c>
      <c r="C381" t="s">
        <v>151</v>
      </c>
      <c r="D381">
        <v>2014</v>
      </c>
      <c r="E381" s="5">
        <f t="shared" si="5"/>
        <v>41640</v>
      </c>
      <c r="F381" t="s">
        <v>152</v>
      </c>
      <c r="G381" t="s">
        <v>23</v>
      </c>
      <c r="H381" t="s">
        <v>153</v>
      </c>
      <c r="I381" t="s">
        <v>51</v>
      </c>
      <c r="J381">
        <v>84</v>
      </c>
      <c r="K381">
        <v>7.23</v>
      </c>
      <c r="L381">
        <v>95.85</v>
      </c>
      <c r="M381" t="s">
        <v>24</v>
      </c>
      <c r="N381">
        <v>121.49</v>
      </c>
      <c r="O381">
        <v>62.21</v>
      </c>
      <c r="P381">
        <v>17</v>
      </c>
    </row>
    <row r="382" spans="1:16" x14ac:dyDescent="0.25">
      <c r="A382" t="s">
        <v>108</v>
      </c>
      <c r="B382" t="s">
        <v>109</v>
      </c>
      <c r="C382" t="s">
        <v>110</v>
      </c>
      <c r="D382">
        <v>2011</v>
      </c>
      <c r="E382" s="5">
        <f t="shared" si="5"/>
        <v>40544</v>
      </c>
      <c r="F382" t="s">
        <v>18</v>
      </c>
      <c r="G382" t="s">
        <v>28</v>
      </c>
      <c r="H382" t="s">
        <v>76</v>
      </c>
      <c r="I382" t="s">
        <v>21</v>
      </c>
      <c r="J382">
        <v>76</v>
      </c>
      <c r="K382">
        <v>3.1</v>
      </c>
      <c r="L382">
        <v>27.05</v>
      </c>
      <c r="M382" t="s">
        <v>22</v>
      </c>
      <c r="N382">
        <v>36.36</v>
      </c>
      <c r="O382">
        <v>17.78</v>
      </c>
      <c r="P382">
        <v>16</v>
      </c>
    </row>
    <row r="383" spans="1:16" x14ac:dyDescent="0.25">
      <c r="A383" t="s">
        <v>175</v>
      </c>
      <c r="B383" t="s">
        <v>176</v>
      </c>
      <c r="C383" t="s">
        <v>177</v>
      </c>
      <c r="D383">
        <v>2021</v>
      </c>
      <c r="E383" s="5">
        <f t="shared" si="5"/>
        <v>44197</v>
      </c>
      <c r="F383" t="s">
        <v>89</v>
      </c>
      <c r="G383" t="s">
        <v>27</v>
      </c>
      <c r="H383" t="s">
        <v>131</v>
      </c>
      <c r="I383" t="s">
        <v>167</v>
      </c>
      <c r="J383">
        <v>84</v>
      </c>
      <c r="K383">
        <v>1.31</v>
      </c>
      <c r="L383">
        <v>224.88</v>
      </c>
      <c r="M383" t="s">
        <v>24</v>
      </c>
      <c r="N383">
        <v>71.97</v>
      </c>
      <c r="O383">
        <v>33.1</v>
      </c>
      <c r="P383">
        <v>17</v>
      </c>
    </row>
    <row r="384" spans="1:16" x14ac:dyDescent="0.25">
      <c r="A384" t="s">
        <v>114</v>
      </c>
      <c r="B384" t="s">
        <v>78</v>
      </c>
      <c r="C384" t="s">
        <v>115</v>
      </c>
      <c r="D384">
        <v>2015</v>
      </c>
      <c r="E384" s="5">
        <f t="shared" si="5"/>
        <v>42005</v>
      </c>
      <c r="F384" t="s">
        <v>18</v>
      </c>
      <c r="G384" t="s">
        <v>19</v>
      </c>
      <c r="H384" t="s">
        <v>116</v>
      </c>
      <c r="I384" t="s">
        <v>21</v>
      </c>
      <c r="J384">
        <v>98</v>
      </c>
      <c r="K384">
        <v>3.16</v>
      </c>
      <c r="L384">
        <v>220.33</v>
      </c>
      <c r="M384" t="s">
        <v>22</v>
      </c>
      <c r="N384">
        <v>99.52</v>
      </c>
      <c r="O384">
        <v>48.45</v>
      </c>
      <c r="P384">
        <v>21</v>
      </c>
    </row>
    <row r="385" spans="1:16" x14ac:dyDescent="0.25">
      <c r="A385" t="s">
        <v>90</v>
      </c>
      <c r="B385" t="s">
        <v>59</v>
      </c>
      <c r="C385" t="s">
        <v>91</v>
      </c>
      <c r="D385">
        <v>2019</v>
      </c>
      <c r="E385" s="5">
        <f t="shared" si="5"/>
        <v>43466</v>
      </c>
      <c r="F385" t="s">
        <v>35</v>
      </c>
      <c r="G385" t="s">
        <v>27</v>
      </c>
      <c r="H385" t="s">
        <v>92</v>
      </c>
      <c r="I385" t="s">
        <v>21</v>
      </c>
      <c r="J385">
        <v>100</v>
      </c>
      <c r="K385">
        <v>1.53</v>
      </c>
      <c r="L385">
        <v>155.94</v>
      </c>
      <c r="M385" t="s">
        <v>24</v>
      </c>
      <c r="N385">
        <v>10.26</v>
      </c>
      <c r="O385">
        <v>7.55</v>
      </c>
      <c r="P385">
        <v>18</v>
      </c>
    </row>
    <row r="386" spans="1:16" x14ac:dyDescent="0.25">
      <c r="A386" t="s">
        <v>57</v>
      </c>
      <c r="B386" t="s">
        <v>54</v>
      </c>
      <c r="C386" t="s">
        <v>55</v>
      </c>
      <c r="D386">
        <v>2015</v>
      </c>
      <c r="E386" s="5">
        <f t="shared" si="5"/>
        <v>42005</v>
      </c>
      <c r="F386" t="s">
        <v>35</v>
      </c>
      <c r="G386" t="s">
        <v>28</v>
      </c>
      <c r="H386" t="s">
        <v>56</v>
      </c>
      <c r="I386" t="s">
        <v>21</v>
      </c>
      <c r="J386">
        <v>70</v>
      </c>
      <c r="K386">
        <v>9.32</v>
      </c>
      <c r="L386">
        <v>138.37</v>
      </c>
      <c r="M386" t="s">
        <v>24</v>
      </c>
      <c r="N386">
        <v>88.4</v>
      </c>
      <c r="O386">
        <v>43.93</v>
      </c>
      <c r="P386">
        <v>3</v>
      </c>
    </row>
    <row r="387" spans="1:16" x14ac:dyDescent="0.25">
      <c r="A387" t="s">
        <v>162</v>
      </c>
      <c r="B387" t="s">
        <v>163</v>
      </c>
      <c r="C387" t="s">
        <v>164</v>
      </c>
      <c r="D387">
        <v>2018</v>
      </c>
      <c r="E387" s="5">
        <f t="shared" ref="E387:E450" si="6">DATE(D387,1,1)</f>
        <v>43101</v>
      </c>
      <c r="F387" t="s">
        <v>165</v>
      </c>
      <c r="G387" t="s">
        <v>27</v>
      </c>
      <c r="H387" t="s">
        <v>166</v>
      </c>
      <c r="I387" t="s">
        <v>167</v>
      </c>
      <c r="J387">
        <v>80</v>
      </c>
      <c r="K387">
        <v>2.2400000000000002</v>
      </c>
      <c r="L387">
        <v>140.12</v>
      </c>
      <c r="M387" t="s">
        <v>24</v>
      </c>
      <c r="N387">
        <v>135.27000000000001</v>
      </c>
      <c r="O387">
        <v>71.97</v>
      </c>
      <c r="P387">
        <v>11</v>
      </c>
    </row>
    <row r="388" spans="1:16" x14ac:dyDescent="0.25">
      <c r="A388" t="s">
        <v>154</v>
      </c>
      <c r="B388" t="s">
        <v>155</v>
      </c>
      <c r="C388" t="s">
        <v>156</v>
      </c>
      <c r="D388">
        <v>2022</v>
      </c>
      <c r="E388" s="5">
        <f t="shared" si="6"/>
        <v>44562</v>
      </c>
      <c r="F388" t="s">
        <v>157</v>
      </c>
      <c r="G388" t="s">
        <v>28</v>
      </c>
      <c r="H388" t="s">
        <v>158</v>
      </c>
      <c r="I388" t="s">
        <v>21</v>
      </c>
      <c r="J388">
        <v>75</v>
      </c>
      <c r="K388">
        <v>263.75</v>
      </c>
      <c r="L388">
        <v>88.4</v>
      </c>
      <c r="M388" t="s">
        <v>24</v>
      </c>
      <c r="N388">
        <v>40.369999999999997</v>
      </c>
      <c r="O388">
        <v>440.79</v>
      </c>
      <c r="P388">
        <v>9</v>
      </c>
    </row>
    <row r="389" spans="1:16" x14ac:dyDescent="0.25">
      <c r="A389" t="s">
        <v>57</v>
      </c>
      <c r="B389" t="s">
        <v>54</v>
      </c>
      <c r="C389" t="s">
        <v>55</v>
      </c>
      <c r="D389">
        <v>2015</v>
      </c>
      <c r="E389" s="5">
        <f t="shared" si="6"/>
        <v>42005</v>
      </c>
      <c r="F389" t="s">
        <v>35</v>
      </c>
      <c r="G389" t="s">
        <v>27</v>
      </c>
      <c r="H389" t="s">
        <v>56</v>
      </c>
      <c r="I389" t="s">
        <v>21</v>
      </c>
      <c r="J389">
        <v>82</v>
      </c>
      <c r="K389">
        <v>5</v>
      </c>
      <c r="L389">
        <v>69.89</v>
      </c>
      <c r="M389" t="s">
        <v>24</v>
      </c>
      <c r="N389">
        <v>5.69</v>
      </c>
      <c r="O389">
        <v>31.96</v>
      </c>
      <c r="P389">
        <v>20</v>
      </c>
    </row>
    <row r="390" spans="1:16" x14ac:dyDescent="0.25">
      <c r="A390" t="s">
        <v>114</v>
      </c>
      <c r="B390" t="s">
        <v>78</v>
      </c>
      <c r="C390" t="s">
        <v>115</v>
      </c>
      <c r="D390">
        <v>2015</v>
      </c>
      <c r="E390" s="5">
        <f t="shared" si="6"/>
        <v>42005</v>
      </c>
      <c r="F390" t="s">
        <v>18</v>
      </c>
      <c r="G390" t="s">
        <v>23</v>
      </c>
      <c r="H390" t="s">
        <v>116</v>
      </c>
      <c r="I390" t="s">
        <v>21</v>
      </c>
      <c r="J390">
        <v>86</v>
      </c>
      <c r="K390">
        <v>1.86</v>
      </c>
      <c r="L390">
        <v>138.16</v>
      </c>
      <c r="M390" t="s">
        <v>22</v>
      </c>
      <c r="N390">
        <v>112.69</v>
      </c>
      <c r="O390">
        <v>50.86</v>
      </c>
      <c r="P390">
        <v>4</v>
      </c>
    </row>
    <row r="391" spans="1:16" x14ac:dyDescent="0.25">
      <c r="A391" t="s">
        <v>38</v>
      </c>
      <c r="B391" t="s">
        <v>33</v>
      </c>
      <c r="C391" t="s">
        <v>34</v>
      </c>
      <c r="D391">
        <v>2020</v>
      </c>
      <c r="E391" s="5">
        <f t="shared" si="6"/>
        <v>43831</v>
      </c>
      <c r="F391" t="s">
        <v>35</v>
      </c>
      <c r="G391" t="s">
        <v>27</v>
      </c>
      <c r="H391" t="s">
        <v>36</v>
      </c>
      <c r="I391" t="s">
        <v>21</v>
      </c>
      <c r="J391">
        <v>67</v>
      </c>
      <c r="K391">
        <v>2.5</v>
      </c>
      <c r="L391">
        <v>142.27000000000001</v>
      </c>
      <c r="M391" t="s">
        <v>24</v>
      </c>
      <c r="N391">
        <v>20.36</v>
      </c>
      <c r="O391">
        <v>20.37</v>
      </c>
      <c r="P391">
        <v>4</v>
      </c>
    </row>
    <row r="392" spans="1:16" x14ac:dyDescent="0.25">
      <c r="A392" t="s">
        <v>46</v>
      </c>
      <c r="B392" t="s">
        <v>41</v>
      </c>
      <c r="C392" t="s">
        <v>42</v>
      </c>
      <c r="D392">
        <v>2017</v>
      </c>
      <c r="E392" s="5">
        <f t="shared" si="6"/>
        <v>42736</v>
      </c>
      <c r="F392" t="s">
        <v>35</v>
      </c>
      <c r="G392" t="s">
        <v>23</v>
      </c>
      <c r="H392" t="s">
        <v>43</v>
      </c>
      <c r="I392" t="s">
        <v>21</v>
      </c>
      <c r="J392">
        <v>65</v>
      </c>
      <c r="K392">
        <v>4.74</v>
      </c>
      <c r="L392">
        <v>249.82</v>
      </c>
      <c r="M392" t="s">
        <v>24</v>
      </c>
      <c r="N392">
        <v>168.03</v>
      </c>
      <c r="O392">
        <v>78.48</v>
      </c>
      <c r="P392">
        <v>9</v>
      </c>
    </row>
    <row r="393" spans="1:16" x14ac:dyDescent="0.25">
      <c r="A393" t="s">
        <v>188</v>
      </c>
      <c r="B393" t="s">
        <v>189</v>
      </c>
      <c r="C393" t="s">
        <v>190</v>
      </c>
      <c r="D393">
        <v>2019</v>
      </c>
      <c r="E393" s="5">
        <f t="shared" si="6"/>
        <v>43466</v>
      </c>
      <c r="F393" t="s">
        <v>35</v>
      </c>
      <c r="G393" t="s">
        <v>27</v>
      </c>
      <c r="H393" t="s">
        <v>191</v>
      </c>
      <c r="I393" t="s">
        <v>21</v>
      </c>
      <c r="J393">
        <v>78</v>
      </c>
      <c r="K393">
        <v>4.4000000000000004</v>
      </c>
      <c r="L393">
        <v>93.43</v>
      </c>
      <c r="M393" t="s">
        <v>24</v>
      </c>
      <c r="N393">
        <v>187.19</v>
      </c>
      <c r="O393">
        <v>104.51</v>
      </c>
      <c r="P393">
        <v>17</v>
      </c>
    </row>
    <row r="394" spans="1:16" x14ac:dyDescent="0.25">
      <c r="A394" t="s">
        <v>137</v>
      </c>
      <c r="B394" t="s">
        <v>138</v>
      </c>
      <c r="C394" t="s">
        <v>125</v>
      </c>
      <c r="D394">
        <v>2019</v>
      </c>
      <c r="E394" s="5">
        <f t="shared" si="6"/>
        <v>43466</v>
      </c>
      <c r="F394" t="s">
        <v>139</v>
      </c>
      <c r="G394" t="s">
        <v>23</v>
      </c>
      <c r="H394" t="s">
        <v>140</v>
      </c>
      <c r="I394" t="s">
        <v>21</v>
      </c>
      <c r="J394">
        <v>90</v>
      </c>
      <c r="K394">
        <v>7.1</v>
      </c>
      <c r="L394">
        <v>146.56</v>
      </c>
      <c r="M394" t="s">
        <v>24</v>
      </c>
      <c r="N394">
        <v>165.37</v>
      </c>
      <c r="O394">
        <v>91.73</v>
      </c>
      <c r="P394">
        <v>3</v>
      </c>
    </row>
    <row r="395" spans="1:16" x14ac:dyDescent="0.25">
      <c r="A395" t="s">
        <v>97</v>
      </c>
      <c r="B395" t="s">
        <v>41</v>
      </c>
      <c r="C395" t="s">
        <v>42</v>
      </c>
      <c r="D395">
        <v>2012</v>
      </c>
      <c r="E395" s="5">
        <f t="shared" si="6"/>
        <v>40909</v>
      </c>
      <c r="F395" t="s">
        <v>98</v>
      </c>
      <c r="G395" t="s">
        <v>28</v>
      </c>
      <c r="H395" t="s">
        <v>99</v>
      </c>
      <c r="I395" t="s">
        <v>21</v>
      </c>
      <c r="J395">
        <v>73</v>
      </c>
      <c r="K395">
        <v>27.8</v>
      </c>
      <c r="L395">
        <v>167.38</v>
      </c>
      <c r="M395" t="s">
        <v>22</v>
      </c>
      <c r="N395">
        <v>70.599999999999994</v>
      </c>
      <c r="O395">
        <v>136.25</v>
      </c>
      <c r="P395">
        <v>9</v>
      </c>
    </row>
    <row r="396" spans="1:16" x14ac:dyDescent="0.25">
      <c r="A396" t="s">
        <v>101</v>
      </c>
      <c r="B396" t="s">
        <v>41</v>
      </c>
      <c r="C396" t="s">
        <v>42</v>
      </c>
      <c r="D396">
        <v>2018</v>
      </c>
      <c r="E396" s="5">
        <f t="shared" si="6"/>
        <v>43101</v>
      </c>
      <c r="F396" t="s">
        <v>98</v>
      </c>
      <c r="G396" t="s">
        <v>27</v>
      </c>
      <c r="H396" t="s">
        <v>99</v>
      </c>
      <c r="I396" t="s">
        <v>21</v>
      </c>
      <c r="J396">
        <v>70</v>
      </c>
      <c r="K396">
        <v>11.26</v>
      </c>
      <c r="L396">
        <v>45.68</v>
      </c>
      <c r="M396" t="s">
        <v>22</v>
      </c>
      <c r="N396">
        <v>7.76</v>
      </c>
      <c r="O396">
        <v>70.72</v>
      </c>
      <c r="P396">
        <v>8</v>
      </c>
    </row>
    <row r="397" spans="1:16" x14ac:dyDescent="0.25">
      <c r="A397" t="s">
        <v>183</v>
      </c>
      <c r="B397" t="s">
        <v>184</v>
      </c>
      <c r="C397" t="s">
        <v>125</v>
      </c>
      <c r="D397">
        <v>2018</v>
      </c>
      <c r="E397" s="5">
        <f t="shared" si="6"/>
        <v>43101</v>
      </c>
      <c r="F397" t="s">
        <v>35</v>
      </c>
      <c r="G397" t="s">
        <v>23</v>
      </c>
      <c r="H397" t="s">
        <v>185</v>
      </c>
      <c r="I397" t="s">
        <v>21</v>
      </c>
      <c r="J397">
        <v>61</v>
      </c>
      <c r="K397">
        <v>0.87</v>
      </c>
      <c r="L397">
        <v>211.26</v>
      </c>
      <c r="M397" t="s">
        <v>24</v>
      </c>
      <c r="N397">
        <v>24.72</v>
      </c>
      <c r="O397">
        <v>12.63</v>
      </c>
      <c r="P397">
        <v>17</v>
      </c>
    </row>
    <row r="398" spans="1:16" x14ac:dyDescent="0.25">
      <c r="A398" t="s">
        <v>117</v>
      </c>
      <c r="B398" t="s">
        <v>118</v>
      </c>
      <c r="C398" t="s">
        <v>119</v>
      </c>
      <c r="D398">
        <v>2015</v>
      </c>
      <c r="E398" s="5">
        <f t="shared" si="6"/>
        <v>42005</v>
      </c>
      <c r="F398" t="s">
        <v>18</v>
      </c>
      <c r="G398" t="s">
        <v>28</v>
      </c>
      <c r="H398" t="s">
        <v>120</v>
      </c>
      <c r="I398" t="s">
        <v>21</v>
      </c>
      <c r="J398">
        <v>75</v>
      </c>
      <c r="K398">
        <v>8.2899999999999991</v>
      </c>
      <c r="L398">
        <v>103.28</v>
      </c>
      <c r="M398" t="s">
        <v>22</v>
      </c>
      <c r="N398">
        <v>67.040000000000006</v>
      </c>
      <c r="O398">
        <v>49.79</v>
      </c>
      <c r="P398">
        <v>11</v>
      </c>
    </row>
    <row r="399" spans="1:16" x14ac:dyDescent="0.25">
      <c r="A399" t="s">
        <v>173</v>
      </c>
      <c r="B399" t="s">
        <v>174</v>
      </c>
      <c r="C399" t="s">
        <v>42</v>
      </c>
      <c r="D399">
        <v>2018</v>
      </c>
      <c r="E399" s="5">
        <f t="shared" si="6"/>
        <v>43101</v>
      </c>
      <c r="F399" t="s">
        <v>165</v>
      </c>
      <c r="G399" t="s">
        <v>23</v>
      </c>
      <c r="H399" t="s">
        <v>99</v>
      </c>
      <c r="I399" t="s">
        <v>167</v>
      </c>
      <c r="J399">
        <v>88</v>
      </c>
      <c r="K399">
        <v>8</v>
      </c>
      <c r="L399">
        <v>190.21</v>
      </c>
      <c r="M399" t="s">
        <v>24</v>
      </c>
      <c r="N399">
        <v>92.54</v>
      </c>
      <c r="O399">
        <v>76.150000000000006</v>
      </c>
      <c r="P399">
        <v>18</v>
      </c>
    </row>
    <row r="400" spans="1:16" x14ac:dyDescent="0.25">
      <c r="A400" t="s">
        <v>175</v>
      </c>
      <c r="B400" t="s">
        <v>176</v>
      </c>
      <c r="C400" t="s">
        <v>177</v>
      </c>
      <c r="D400">
        <v>2021</v>
      </c>
      <c r="E400" s="5">
        <f t="shared" si="6"/>
        <v>44197</v>
      </c>
      <c r="F400" t="s">
        <v>89</v>
      </c>
      <c r="G400" t="s">
        <v>27</v>
      </c>
      <c r="H400" t="s">
        <v>131</v>
      </c>
      <c r="I400" t="s">
        <v>167</v>
      </c>
      <c r="J400">
        <v>84</v>
      </c>
      <c r="K400">
        <v>1.19</v>
      </c>
      <c r="L400">
        <v>224.88</v>
      </c>
      <c r="M400" t="s">
        <v>24</v>
      </c>
      <c r="N400">
        <v>71.97</v>
      </c>
      <c r="O400">
        <v>32.99</v>
      </c>
      <c r="P400">
        <v>15</v>
      </c>
    </row>
    <row r="401" spans="1:16" x14ac:dyDescent="0.25">
      <c r="A401" t="s">
        <v>80</v>
      </c>
      <c r="B401" t="s">
        <v>81</v>
      </c>
      <c r="C401" t="s">
        <v>82</v>
      </c>
      <c r="D401">
        <v>2011</v>
      </c>
      <c r="E401" s="5">
        <f t="shared" si="6"/>
        <v>40544</v>
      </c>
      <c r="F401" t="s">
        <v>83</v>
      </c>
      <c r="G401" t="s">
        <v>28</v>
      </c>
      <c r="H401" t="s">
        <v>84</v>
      </c>
      <c r="I401" t="s">
        <v>85</v>
      </c>
      <c r="J401">
        <v>84</v>
      </c>
      <c r="K401">
        <v>61.44</v>
      </c>
      <c r="L401">
        <v>110.53</v>
      </c>
      <c r="M401" t="s">
        <v>24</v>
      </c>
      <c r="N401">
        <v>144.13999999999999</v>
      </c>
      <c r="O401">
        <v>193.09</v>
      </c>
      <c r="P401">
        <v>12</v>
      </c>
    </row>
    <row r="402" spans="1:16" x14ac:dyDescent="0.25">
      <c r="A402" t="s">
        <v>154</v>
      </c>
      <c r="B402" t="s">
        <v>155</v>
      </c>
      <c r="C402" t="s">
        <v>156</v>
      </c>
      <c r="D402">
        <v>2022</v>
      </c>
      <c r="E402" s="5">
        <f t="shared" si="6"/>
        <v>44562</v>
      </c>
      <c r="F402" t="s">
        <v>157</v>
      </c>
      <c r="G402" t="s">
        <v>23</v>
      </c>
      <c r="H402" t="s">
        <v>158</v>
      </c>
      <c r="I402" t="s">
        <v>21</v>
      </c>
      <c r="J402">
        <v>95</v>
      </c>
      <c r="K402">
        <v>182.02</v>
      </c>
      <c r="L402">
        <v>217.15</v>
      </c>
      <c r="M402" t="s">
        <v>22</v>
      </c>
      <c r="N402">
        <v>145.61000000000001</v>
      </c>
      <c r="O402">
        <v>1766.9</v>
      </c>
      <c r="P402">
        <v>20</v>
      </c>
    </row>
    <row r="403" spans="1:16" x14ac:dyDescent="0.25">
      <c r="A403" t="s">
        <v>38</v>
      </c>
      <c r="B403" t="s">
        <v>33</v>
      </c>
      <c r="C403" t="s">
        <v>34</v>
      </c>
      <c r="D403">
        <v>2020</v>
      </c>
      <c r="E403" s="5">
        <f t="shared" si="6"/>
        <v>43831</v>
      </c>
      <c r="F403" t="s">
        <v>35</v>
      </c>
      <c r="G403" t="s">
        <v>39</v>
      </c>
      <c r="H403" t="s">
        <v>36</v>
      </c>
      <c r="I403" t="s">
        <v>21</v>
      </c>
      <c r="J403">
        <v>91</v>
      </c>
      <c r="K403">
        <v>1.3</v>
      </c>
      <c r="L403">
        <v>165.28</v>
      </c>
      <c r="M403" t="s">
        <v>24</v>
      </c>
      <c r="N403">
        <v>189.64</v>
      </c>
      <c r="O403">
        <v>110.03</v>
      </c>
      <c r="P403">
        <v>17</v>
      </c>
    </row>
    <row r="404" spans="1:16" x14ac:dyDescent="0.25">
      <c r="A404" t="s">
        <v>100</v>
      </c>
      <c r="B404" t="s">
        <v>41</v>
      </c>
      <c r="C404" t="s">
        <v>42</v>
      </c>
      <c r="D404">
        <v>2014</v>
      </c>
      <c r="E404" s="5">
        <f t="shared" si="6"/>
        <v>41640</v>
      </c>
      <c r="F404" t="s">
        <v>98</v>
      </c>
      <c r="G404" t="s">
        <v>23</v>
      </c>
      <c r="H404" t="s">
        <v>99</v>
      </c>
      <c r="I404" t="s">
        <v>21</v>
      </c>
      <c r="J404">
        <v>96</v>
      </c>
      <c r="K404">
        <v>8.42</v>
      </c>
      <c r="L404">
        <v>61.1</v>
      </c>
      <c r="M404" t="s">
        <v>22</v>
      </c>
      <c r="N404">
        <v>84.25</v>
      </c>
      <c r="O404">
        <v>50.38</v>
      </c>
      <c r="P404">
        <v>6</v>
      </c>
    </row>
    <row r="405" spans="1:16" x14ac:dyDescent="0.25">
      <c r="A405" t="s">
        <v>181</v>
      </c>
      <c r="B405" t="s">
        <v>62</v>
      </c>
      <c r="C405" t="s">
        <v>63</v>
      </c>
      <c r="D405">
        <v>2017</v>
      </c>
      <c r="E405" s="5">
        <f t="shared" si="6"/>
        <v>42736</v>
      </c>
      <c r="F405" t="s">
        <v>18</v>
      </c>
      <c r="G405" t="s">
        <v>66</v>
      </c>
      <c r="H405" t="s">
        <v>64</v>
      </c>
      <c r="I405" t="s">
        <v>65</v>
      </c>
      <c r="J405">
        <v>96</v>
      </c>
      <c r="K405">
        <v>10.79</v>
      </c>
      <c r="L405">
        <v>249.29</v>
      </c>
      <c r="M405" t="s">
        <v>22</v>
      </c>
      <c r="N405">
        <v>182.93</v>
      </c>
      <c r="O405">
        <v>84.82</v>
      </c>
      <c r="P405">
        <v>14</v>
      </c>
    </row>
    <row r="406" spans="1:16" x14ac:dyDescent="0.25">
      <c r="A406" t="s">
        <v>29</v>
      </c>
      <c r="B406" t="s">
        <v>16</v>
      </c>
      <c r="C406" t="s">
        <v>17</v>
      </c>
      <c r="D406">
        <v>2008</v>
      </c>
      <c r="E406" s="5">
        <f t="shared" si="6"/>
        <v>39448</v>
      </c>
      <c r="F406" t="s">
        <v>18</v>
      </c>
      <c r="G406" t="s">
        <v>28</v>
      </c>
      <c r="H406" t="s">
        <v>20</v>
      </c>
      <c r="I406" t="s">
        <v>21</v>
      </c>
      <c r="J406">
        <v>87</v>
      </c>
      <c r="K406">
        <v>6.88</v>
      </c>
      <c r="L406">
        <v>134</v>
      </c>
      <c r="M406" t="s">
        <v>22</v>
      </c>
      <c r="N406">
        <v>52.74</v>
      </c>
      <c r="O406">
        <v>37.11</v>
      </c>
      <c r="P406">
        <v>9</v>
      </c>
    </row>
    <row r="407" spans="1:16" x14ac:dyDescent="0.25">
      <c r="A407" t="s">
        <v>183</v>
      </c>
      <c r="B407" t="s">
        <v>184</v>
      </c>
      <c r="C407" t="s">
        <v>125</v>
      </c>
      <c r="D407">
        <v>2018</v>
      </c>
      <c r="E407" s="5">
        <f t="shared" si="6"/>
        <v>43101</v>
      </c>
      <c r="F407" t="s">
        <v>35</v>
      </c>
      <c r="G407" t="s">
        <v>23</v>
      </c>
      <c r="H407" t="s">
        <v>185</v>
      </c>
      <c r="I407" t="s">
        <v>21</v>
      </c>
      <c r="J407">
        <v>61</v>
      </c>
      <c r="K407">
        <v>0.85</v>
      </c>
      <c r="L407">
        <v>211.26</v>
      </c>
      <c r="M407" t="s">
        <v>24</v>
      </c>
      <c r="N407">
        <v>24.72</v>
      </c>
      <c r="O407">
        <v>13.22</v>
      </c>
      <c r="P407">
        <v>17</v>
      </c>
    </row>
    <row r="408" spans="1:16" x14ac:dyDescent="0.25">
      <c r="A408" t="s">
        <v>178</v>
      </c>
      <c r="B408" t="s">
        <v>179</v>
      </c>
      <c r="C408" t="s">
        <v>180</v>
      </c>
      <c r="D408">
        <v>2019</v>
      </c>
      <c r="E408" s="5">
        <f t="shared" si="6"/>
        <v>43466</v>
      </c>
      <c r="F408" t="s">
        <v>89</v>
      </c>
      <c r="G408" t="s">
        <v>37</v>
      </c>
      <c r="H408" t="s">
        <v>84</v>
      </c>
      <c r="I408" t="s">
        <v>167</v>
      </c>
      <c r="J408">
        <v>82</v>
      </c>
      <c r="K408">
        <v>7.8</v>
      </c>
      <c r="L408">
        <v>229.27</v>
      </c>
      <c r="M408" t="s">
        <v>24</v>
      </c>
      <c r="N408">
        <v>65.5</v>
      </c>
      <c r="O408">
        <v>46.03</v>
      </c>
      <c r="P408">
        <v>13</v>
      </c>
    </row>
    <row r="409" spans="1:16" x14ac:dyDescent="0.25">
      <c r="A409" t="s">
        <v>80</v>
      </c>
      <c r="B409" t="s">
        <v>81</v>
      </c>
      <c r="C409" t="s">
        <v>82</v>
      </c>
      <c r="D409">
        <v>2011</v>
      </c>
      <c r="E409" s="5">
        <f t="shared" si="6"/>
        <v>40544</v>
      </c>
      <c r="F409" t="s">
        <v>83</v>
      </c>
      <c r="G409" t="s">
        <v>28</v>
      </c>
      <c r="H409" t="s">
        <v>84</v>
      </c>
      <c r="I409" t="s">
        <v>85</v>
      </c>
      <c r="J409">
        <v>88</v>
      </c>
      <c r="K409">
        <v>66.36</v>
      </c>
      <c r="L409">
        <v>110.53</v>
      </c>
      <c r="M409" t="s">
        <v>24</v>
      </c>
      <c r="N409">
        <v>144.13999999999999</v>
      </c>
      <c r="O409">
        <v>192.74</v>
      </c>
      <c r="P409">
        <v>11</v>
      </c>
    </row>
    <row r="410" spans="1:16" x14ac:dyDescent="0.25">
      <c r="A410" t="s">
        <v>175</v>
      </c>
      <c r="B410" t="s">
        <v>176</v>
      </c>
      <c r="C410" t="s">
        <v>177</v>
      </c>
      <c r="D410">
        <v>2021</v>
      </c>
      <c r="E410" s="5">
        <f t="shared" si="6"/>
        <v>44197</v>
      </c>
      <c r="F410" t="s">
        <v>89</v>
      </c>
      <c r="G410" t="s">
        <v>27</v>
      </c>
      <c r="H410" t="s">
        <v>131</v>
      </c>
      <c r="I410" t="s">
        <v>167</v>
      </c>
      <c r="J410">
        <v>83</v>
      </c>
      <c r="K410">
        <v>1.2</v>
      </c>
      <c r="L410">
        <v>224.88</v>
      </c>
      <c r="M410" t="s">
        <v>24</v>
      </c>
      <c r="N410">
        <v>71.97</v>
      </c>
      <c r="O410">
        <v>34.130000000000003</v>
      </c>
      <c r="P410">
        <v>16</v>
      </c>
    </row>
    <row r="411" spans="1:16" x14ac:dyDescent="0.25">
      <c r="A411" t="s">
        <v>159</v>
      </c>
      <c r="B411" t="s">
        <v>155</v>
      </c>
      <c r="C411" t="s">
        <v>156</v>
      </c>
      <c r="D411">
        <v>2016</v>
      </c>
      <c r="E411" s="5">
        <f t="shared" si="6"/>
        <v>42370</v>
      </c>
      <c r="F411" t="s">
        <v>157</v>
      </c>
      <c r="G411" t="s">
        <v>23</v>
      </c>
      <c r="H411" t="s">
        <v>158</v>
      </c>
      <c r="I411" t="s">
        <v>21</v>
      </c>
      <c r="J411">
        <v>86</v>
      </c>
      <c r="K411">
        <v>10.99</v>
      </c>
      <c r="L411">
        <v>23.85</v>
      </c>
      <c r="M411" t="s">
        <v>24</v>
      </c>
      <c r="N411">
        <v>108.44</v>
      </c>
      <c r="O411">
        <v>64.33</v>
      </c>
      <c r="P411">
        <v>14</v>
      </c>
    </row>
    <row r="412" spans="1:16" x14ac:dyDescent="0.25">
      <c r="A412" t="s">
        <v>117</v>
      </c>
      <c r="B412" t="s">
        <v>118</v>
      </c>
      <c r="C412" t="s">
        <v>119</v>
      </c>
      <c r="D412">
        <v>2015</v>
      </c>
      <c r="E412" s="5">
        <f t="shared" si="6"/>
        <v>42005</v>
      </c>
      <c r="F412" t="s">
        <v>18</v>
      </c>
      <c r="G412" t="s">
        <v>28</v>
      </c>
      <c r="H412" t="s">
        <v>120</v>
      </c>
      <c r="I412" t="s">
        <v>21</v>
      </c>
      <c r="J412">
        <v>74</v>
      </c>
      <c r="K412">
        <v>7.53</v>
      </c>
      <c r="L412">
        <v>103.28</v>
      </c>
      <c r="M412" t="s">
        <v>22</v>
      </c>
      <c r="N412">
        <v>67.040000000000006</v>
      </c>
      <c r="O412">
        <v>48.89</v>
      </c>
      <c r="P412">
        <v>11</v>
      </c>
    </row>
    <row r="413" spans="1:16" x14ac:dyDescent="0.25">
      <c r="A413" t="s">
        <v>150</v>
      </c>
      <c r="B413" t="s">
        <v>151</v>
      </c>
      <c r="C413" t="s">
        <v>151</v>
      </c>
      <c r="D413">
        <v>2014</v>
      </c>
      <c r="E413" s="5">
        <f t="shared" si="6"/>
        <v>41640</v>
      </c>
      <c r="F413" t="s">
        <v>152</v>
      </c>
      <c r="G413" t="s">
        <v>23</v>
      </c>
      <c r="H413" t="s">
        <v>153</v>
      </c>
      <c r="I413" t="s">
        <v>51</v>
      </c>
      <c r="J413">
        <v>82</v>
      </c>
      <c r="K413">
        <v>8.19</v>
      </c>
      <c r="L413">
        <v>95.85</v>
      </c>
      <c r="M413" t="s">
        <v>24</v>
      </c>
      <c r="N413">
        <v>121.49</v>
      </c>
      <c r="O413">
        <v>75.599999999999994</v>
      </c>
      <c r="P413">
        <v>15</v>
      </c>
    </row>
    <row r="414" spans="1:16" x14ac:dyDescent="0.25">
      <c r="A414" t="s">
        <v>100</v>
      </c>
      <c r="B414" t="s">
        <v>41</v>
      </c>
      <c r="C414" t="s">
        <v>42</v>
      </c>
      <c r="D414">
        <v>2014</v>
      </c>
      <c r="E414" s="5">
        <f t="shared" si="6"/>
        <v>41640</v>
      </c>
      <c r="F414" t="s">
        <v>98</v>
      </c>
      <c r="G414" t="s">
        <v>27</v>
      </c>
      <c r="H414" t="s">
        <v>99</v>
      </c>
      <c r="I414" t="s">
        <v>21</v>
      </c>
      <c r="J414">
        <v>78</v>
      </c>
      <c r="K414">
        <v>21.49</v>
      </c>
      <c r="L414">
        <v>133.19999999999999</v>
      </c>
      <c r="M414" t="s">
        <v>22</v>
      </c>
      <c r="N414">
        <v>87.97</v>
      </c>
      <c r="O414">
        <v>156.27000000000001</v>
      </c>
      <c r="P414">
        <v>11</v>
      </c>
    </row>
    <row r="415" spans="1:16" x14ac:dyDescent="0.25">
      <c r="A415" t="s">
        <v>141</v>
      </c>
      <c r="B415" t="s">
        <v>142</v>
      </c>
      <c r="C415" t="s">
        <v>143</v>
      </c>
      <c r="D415">
        <v>2018</v>
      </c>
      <c r="E415" s="5">
        <f t="shared" si="6"/>
        <v>43101</v>
      </c>
      <c r="F415" t="s">
        <v>130</v>
      </c>
      <c r="G415" t="s">
        <v>27</v>
      </c>
      <c r="H415" t="s">
        <v>76</v>
      </c>
      <c r="I415" t="s">
        <v>21</v>
      </c>
      <c r="J415">
        <v>82</v>
      </c>
      <c r="K415">
        <v>2.19</v>
      </c>
      <c r="L415">
        <v>111.73</v>
      </c>
      <c r="M415" t="s">
        <v>24</v>
      </c>
      <c r="N415">
        <v>51.04</v>
      </c>
      <c r="O415">
        <v>23.53</v>
      </c>
      <c r="P415">
        <v>11</v>
      </c>
    </row>
    <row r="416" spans="1:16" x14ac:dyDescent="0.25">
      <c r="A416" t="s">
        <v>90</v>
      </c>
      <c r="B416" t="s">
        <v>59</v>
      </c>
      <c r="C416" t="s">
        <v>91</v>
      </c>
      <c r="D416">
        <v>2019</v>
      </c>
      <c r="E416" s="5">
        <f t="shared" si="6"/>
        <v>43466</v>
      </c>
      <c r="F416" t="s">
        <v>35</v>
      </c>
      <c r="G416" t="s">
        <v>27</v>
      </c>
      <c r="H416" t="s">
        <v>92</v>
      </c>
      <c r="I416" t="s">
        <v>21</v>
      </c>
      <c r="J416">
        <v>99</v>
      </c>
      <c r="K416">
        <v>1.51</v>
      </c>
      <c r="L416">
        <v>155.94</v>
      </c>
      <c r="M416" t="s">
        <v>24</v>
      </c>
      <c r="N416">
        <v>10.26</v>
      </c>
      <c r="O416">
        <v>6.74</v>
      </c>
      <c r="P416">
        <v>19</v>
      </c>
    </row>
    <row r="417" spans="1:16" x14ac:dyDescent="0.25">
      <c r="A417" t="s">
        <v>178</v>
      </c>
      <c r="B417" t="s">
        <v>179</v>
      </c>
      <c r="C417" t="s">
        <v>180</v>
      </c>
      <c r="D417">
        <v>2019</v>
      </c>
      <c r="E417" s="5">
        <f t="shared" si="6"/>
        <v>43466</v>
      </c>
      <c r="F417" t="s">
        <v>89</v>
      </c>
      <c r="G417" t="s">
        <v>37</v>
      </c>
      <c r="H417" t="s">
        <v>84</v>
      </c>
      <c r="I417" t="s">
        <v>167</v>
      </c>
      <c r="J417">
        <v>79</v>
      </c>
      <c r="K417">
        <v>6.72</v>
      </c>
      <c r="L417">
        <v>229.27</v>
      </c>
      <c r="M417" t="s">
        <v>24</v>
      </c>
      <c r="N417">
        <v>65.5</v>
      </c>
      <c r="O417">
        <v>42.71</v>
      </c>
      <c r="P417">
        <v>12</v>
      </c>
    </row>
    <row r="418" spans="1:16" x14ac:dyDescent="0.25">
      <c r="A418" t="s">
        <v>175</v>
      </c>
      <c r="B418" t="s">
        <v>176</v>
      </c>
      <c r="C418" t="s">
        <v>177</v>
      </c>
      <c r="D418">
        <v>2021</v>
      </c>
      <c r="E418" s="5">
        <f t="shared" si="6"/>
        <v>44197</v>
      </c>
      <c r="F418" t="s">
        <v>89</v>
      </c>
      <c r="G418" t="s">
        <v>23</v>
      </c>
      <c r="H418" t="s">
        <v>131</v>
      </c>
      <c r="I418" t="s">
        <v>167</v>
      </c>
      <c r="J418">
        <v>87</v>
      </c>
      <c r="K418">
        <v>6.45</v>
      </c>
      <c r="L418">
        <v>96.74</v>
      </c>
      <c r="M418" t="s">
        <v>24</v>
      </c>
      <c r="N418">
        <v>118.16</v>
      </c>
      <c r="O418">
        <v>55.37</v>
      </c>
      <c r="P418">
        <v>0</v>
      </c>
    </row>
    <row r="419" spans="1:16" x14ac:dyDescent="0.25">
      <c r="A419" t="s">
        <v>100</v>
      </c>
      <c r="B419" t="s">
        <v>41</v>
      </c>
      <c r="C419" t="s">
        <v>42</v>
      </c>
      <c r="D419">
        <v>2014</v>
      </c>
      <c r="E419" s="5">
        <f t="shared" si="6"/>
        <v>41640</v>
      </c>
      <c r="F419" t="s">
        <v>98</v>
      </c>
      <c r="G419" t="s">
        <v>27</v>
      </c>
      <c r="H419" t="s">
        <v>99</v>
      </c>
      <c r="I419" t="s">
        <v>21</v>
      </c>
      <c r="J419">
        <v>76</v>
      </c>
      <c r="K419">
        <v>20.67</v>
      </c>
      <c r="L419">
        <v>133.19999999999999</v>
      </c>
      <c r="M419" t="s">
        <v>22</v>
      </c>
      <c r="N419">
        <v>87.97</v>
      </c>
      <c r="O419">
        <v>164.35</v>
      </c>
      <c r="P419">
        <v>10</v>
      </c>
    </row>
    <row r="420" spans="1:16" x14ac:dyDescent="0.25">
      <c r="A420" t="s">
        <v>61</v>
      </c>
      <c r="B420" t="s">
        <v>62</v>
      </c>
      <c r="C420" t="s">
        <v>63</v>
      </c>
      <c r="D420">
        <v>2017</v>
      </c>
      <c r="E420" s="5">
        <f t="shared" si="6"/>
        <v>42736</v>
      </c>
      <c r="F420" t="s">
        <v>18</v>
      </c>
      <c r="G420" t="s">
        <v>66</v>
      </c>
      <c r="H420" t="s">
        <v>64</v>
      </c>
      <c r="I420" t="s">
        <v>65</v>
      </c>
      <c r="J420">
        <v>90</v>
      </c>
      <c r="K420">
        <v>3.14</v>
      </c>
      <c r="L420">
        <v>232.77</v>
      </c>
      <c r="M420" t="s">
        <v>24</v>
      </c>
      <c r="N420">
        <v>161.44</v>
      </c>
      <c r="O420">
        <v>86.07</v>
      </c>
      <c r="P420">
        <v>8</v>
      </c>
    </row>
    <row r="421" spans="1:16" x14ac:dyDescent="0.25">
      <c r="A421" t="s">
        <v>44</v>
      </c>
      <c r="B421" t="s">
        <v>45</v>
      </c>
      <c r="C421" t="s">
        <v>42</v>
      </c>
      <c r="D421">
        <v>2018</v>
      </c>
      <c r="E421" s="5">
        <f t="shared" si="6"/>
        <v>43101</v>
      </c>
      <c r="F421" t="s">
        <v>35</v>
      </c>
      <c r="G421" t="s">
        <v>28</v>
      </c>
      <c r="H421" t="s">
        <v>43</v>
      </c>
      <c r="I421" t="s">
        <v>21</v>
      </c>
      <c r="J421">
        <v>73</v>
      </c>
      <c r="K421">
        <v>21.75</v>
      </c>
      <c r="L421">
        <v>70.36</v>
      </c>
      <c r="M421" t="s">
        <v>24</v>
      </c>
      <c r="N421">
        <v>53.71</v>
      </c>
      <c r="O421">
        <v>223.59</v>
      </c>
      <c r="P421">
        <v>14</v>
      </c>
    </row>
    <row r="422" spans="1:16" x14ac:dyDescent="0.25">
      <c r="A422" t="s">
        <v>188</v>
      </c>
      <c r="B422" t="s">
        <v>189</v>
      </c>
      <c r="C422" t="s">
        <v>190</v>
      </c>
      <c r="D422">
        <v>2019</v>
      </c>
      <c r="E422" s="5">
        <f t="shared" si="6"/>
        <v>43466</v>
      </c>
      <c r="F422" t="s">
        <v>35</v>
      </c>
      <c r="G422" t="s">
        <v>28</v>
      </c>
      <c r="H422" t="s">
        <v>191</v>
      </c>
      <c r="I422" t="s">
        <v>21</v>
      </c>
      <c r="J422">
        <v>70</v>
      </c>
      <c r="K422">
        <v>1.05</v>
      </c>
      <c r="L422">
        <v>40.92</v>
      </c>
      <c r="M422" t="s">
        <v>24</v>
      </c>
      <c r="N422">
        <v>92.62</v>
      </c>
      <c r="O422">
        <v>51.75</v>
      </c>
      <c r="P422">
        <v>14</v>
      </c>
    </row>
    <row r="423" spans="1:16" x14ac:dyDescent="0.25">
      <c r="A423" t="s">
        <v>117</v>
      </c>
      <c r="B423" t="s">
        <v>118</v>
      </c>
      <c r="C423" t="s">
        <v>119</v>
      </c>
      <c r="D423">
        <v>2015</v>
      </c>
      <c r="E423" s="5">
        <f t="shared" si="6"/>
        <v>42005</v>
      </c>
      <c r="F423" t="s">
        <v>18</v>
      </c>
      <c r="G423" t="s">
        <v>28</v>
      </c>
      <c r="H423" t="s">
        <v>120</v>
      </c>
      <c r="I423" t="s">
        <v>21</v>
      </c>
      <c r="J423">
        <v>74</v>
      </c>
      <c r="K423">
        <v>9.0500000000000007</v>
      </c>
      <c r="L423">
        <v>103.28</v>
      </c>
      <c r="M423" t="s">
        <v>22</v>
      </c>
      <c r="N423">
        <v>67.040000000000006</v>
      </c>
      <c r="O423">
        <v>49.81</v>
      </c>
      <c r="P423">
        <v>11</v>
      </c>
    </row>
    <row r="424" spans="1:16" x14ac:dyDescent="0.25">
      <c r="A424" t="s">
        <v>80</v>
      </c>
      <c r="B424" t="s">
        <v>81</v>
      </c>
      <c r="C424" t="s">
        <v>82</v>
      </c>
      <c r="D424">
        <v>2011</v>
      </c>
      <c r="E424" s="5">
        <f t="shared" si="6"/>
        <v>40544</v>
      </c>
      <c r="F424" t="s">
        <v>83</v>
      </c>
      <c r="G424" t="s">
        <v>28</v>
      </c>
      <c r="H424" t="s">
        <v>84</v>
      </c>
      <c r="I424" t="s">
        <v>85</v>
      </c>
      <c r="J424">
        <v>84</v>
      </c>
      <c r="K424">
        <v>54.92</v>
      </c>
      <c r="L424">
        <v>110.53</v>
      </c>
      <c r="M424" t="s">
        <v>24</v>
      </c>
      <c r="N424">
        <v>144.13999999999999</v>
      </c>
      <c r="O424">
        <v>180.78</v>
      </c>
      <c r="P424">
        <v>9</v>
      </c>
    </row>
    <row r="425" spans="1:16" x14ac:dyDescent="0.25">
      <c r="A425" t="s">
        <v>95</v>
      </c>
      <c r="B425" t="s">
        <v>96</v>
      </c>
      <c r="C425" t="s">
        <v>42</v>
      </c>
      <c r="D425">
        <v>2020</v>
      </c>
      <c r="E425" s="5">
        <f t="shared" si="6"/>
        <v>43831</v>
      </c>
      <c r="F425" t="s">
        <v>18</v>
      </c>
      <c r="G425" t="s">
        <v>25</v>
      </c>
      <c r="H425" t="s">
        <v>94</v>
      </c>
      <c r="I425" t="s">
        <v>21</v>
      </c>
      <c r="J425">
        <v>90</v>
      </c>
      <c r="K425">
        <v>3.14</v>
      </c>
      <c r="L425">
        <v>169.66</v>
      </c>
      <c r="M425" t="s">
        <v>22</v>
      </c>
      <c r="N425">
        <v>191.84</v>
      </c>
      <c r="O425">
        <v>94.95</v>
      </c>
      <c r="P425">
        <v>5</v>
      </c>
    </row>
    <row r="426" spans="1:16" x14ac:dyDescent="0.25">
      <c r="A426" t="s">
        <v>169</v>
      </c>
      <c r="B426" t="s">
        <v>170</v>
      </c>
      <c r="C426" t="s">
        <v>171</v>
      </c>
      <c r="D426">
        <v>2018</v>
      </c>
      <c r="E426" s="5">
        <f t="shared" si="6"/>
        <v>43101</v>
      </c>
      <c r="F426" t="s">
        <v>165</v>
      </c>
      <c r="G426" t="s">
        <v>23</v>
      </c>
      <c r="H426" t="s">
        <v>172</v>
      </c>
      <c r="I426" t="s">
        <v>167</v>
      </c>
      <c r="J426">
        <v>82</v>
      </c>
      <c r="K426">
        <v>4.8</v>
      </c>
      <c r="L426">
        <v>20.58</v>
      </c>
      <c r="M426" t="s">
        <v>24</v>
      </c>
      <c r="N426">
        <v>174.75</v>
      </c>
      <c r="O426">
        <v>97.54</v>
      </c>
      <c r="P426">
        <v>7</v>
      </c>
    </row>
    <row r="427" spans="1:16" x14ac:dyDescent="0.25">
      <c r="A427" t="s">
        <v>77</v>
      </c>
      <c r="B427" t="s">
        <v>78</v>
      </c>
      <c r="C427" t="s">
        <v>49</v>
      </c>
      <c r="D427">
        <v>2019</v>
      </c>
      <c r="E427" s="5">
        <f t="shared" si="6"/>
        <v>43466</v>
      </c>
      <c r="F427" t="s">
        <v>18</v>
      </c>
      <c r="G427" t="s">
        <v>23</v>
      </c>
      <c r="H427" t="s">
        <v>79</v>
      </c>
      <c r="I427" t="s">
        <v>21</v>
      </c>
      <c r="J427">
        <v>75</v>
      </c>
      <c r="K427">
        <v>5.81</v>
      </c>
      <c r="L427">
        <v>192.35</v>
      </c>
      <c r="M427" t="s">
        <v>22</v>
      </c>
      <c r="N427">
        <v>93.81</v>
      </c>
      <c r="O427">
        <v>69.81</v>
      </c>
      <c r="P427">
        <v>18</v>
      </c>
    </row>
    <row r="428" spans="1:16" x14ac:dyDescent="0.25">
      <c r="A428" t="s">
        <v>15</v>
      </c>
      <c r="B428" t="s">
        <v>16</v>
      </c>
      <c r="C428" t="s">
        <v>17</v>
      </c>
      <c r="D428">
        <v>2013</v>
      </c>
      <c r="E428" s="5">
        <f t="shared" si="6"/>
        <v>41275</v>
      </c>
      <c r="F428" t="s">
        <v>18</v>
      </c>
      <c r="G428" t="s">
        <v>26</v>
      </c>
      <c r="H428" t="s">
        <v>20</v>
      </c>
      <c r="I428" t="s">
        <v>21</v>
      </c>
      <c r="J428">
        <v>66</v>
      </c>
      <c r="K428">
        <v>142.6</v>
      </c>
      <c r="L428">
        <v>85.72</v>
      </c>
      <c r="M428" t="s">
        <v>24</v>
      </c>
      <c r="N428">
        <v>35.32</v>
      </c>
      <c r="O428">
        <v>1489.6</v>
      </c>
      <c r="P428">
        <v>10</v>
      </c>
    </row>
    <row r="429" spans="1:16" x14ac:dyDescent="0.25">
      <c r="A429" t="s">
        <v>204</v>
      </c>
      <c r="B429" t="s">
        <v>205</v>
      </c>
      <c r="C429" t="s">
        <v>17</v>
      </c>
      <c r="D429">
        <v>2010</v>
      </c>
      <c r="E429" s="5">
        <f t="shared" si="6"/>
        <v>40179</v>
      </c>
      <c r="F429" t="s">
        <v>18</v>
      </c>
      <c r="G429" t="s">
        <v>19</v>
      </c>
      <c r="H429" t="s">
        <v>20</v>
      </c>
      <c r="I429" t="s">
        <v>21</v>
      </c>
      <c r="J429">
        <v>83</v>
      </c>
      <c r="K429">
        <v>1.96</v>
      </c>
      <c r="L429">
        <v>34.58</v>
      </c>
      <c r="M429" t="s">
        <v>24</v>
      </c>
      <c r="N429">
        <v>144.63</v>
      </c>
      <c r="O429">
        <v>82.94</v>
      </c>
      <c r="P429">
        <v>2</v>
      </c>
    </row>
    <row r="430" spans="1:16" x14ac:dyDescent="0.25">
      <c r="A430" t="s">
        <v>77</v>
      </c>
      <c r="B430" t="s">
        <v>78</v>
      </c>
      <c r="C430" t="s">
        <v>49</v>
      </c>
      <c r="D430">
        <v>2019</v>
      </c>
      <c r="E430" s="5">
        <f t="shared" si="6"/>
        <v>43466</v>
      </c>
      <c r="F430" t="s">
        <v>18</v>
      </c>
      <c r="G430" t="s">
        <v>23</v>
      </c>
      <c r="H430" t="s">
        <v>79</v>
      </c>
      <c r="I430" t="s">
        <v>21</v>
      </c>
      <c r="J430">
        <v>72</v>
      </c>
      <c r="K430">
        <v>6</v>
      </c>
      <c r="L430">
        <v>192.35</v>
      </c>
      <c r="M430" t="s">
        <v>22</v>
      </c>
      <c r="N430">
        <v>93.81</v>
      </c>
      <c r="O430">
        <v>80.959999999999994</v>
      </c>
      <c r="P430">
        <v>19</v>
      </c>
    </row>
    <row r="431" spans="1:16" x14ac:dyDescent="0.25">
      <c r="A431" t="s">
        <v>102</v>
      </c>
      <c r="B431" t="s">
        <v>96</v>
      </c>
      <c r="C431" t="s">
        <v>42</v>
      </c>
      <c r="D431">
        <v>2021</v>
      </c>
      <c r="E431" s="5">
        <f t="shared" si="6"/>
        <v>44197</v>
      </c>
      <c r="F431" t="s">
        <v>98</v>
      </c>
      <c r="G431" t="s">
        <v>27</v>
      </c>
      <c r="H431" t="s">
        <v>99</v>
      </c>
      <c r="I431" t="s">
        <v>21</v>
      </c>
      <c r="J431">
        <v>75</v>
      </c>
      <c r="K431">
        <v>6.46</v>
      </c>
      <c r="L431">
        <v>191.35</v>
      </c>
      <c r="M431" t="s">
        <v>22</v>
      </c>
      <c r="N431">
        <v>123.23</v>
      </c>
      <c r="O431">
        <v>73.290000000000006</v>
      </c>
      <c r="P431">
        <v>7</v>
      </c>
    </row>
    <row r="432" spans="1:16" x14ac:dyDescent="0.25">
      <c r="A432" t="s">
        <v>137</v>
      </c>
      <c r="B432" t="s">
        <v>138</v>
      </c>
      <c r="C432" t="s">
        <v>125</v>
      </c>
      <c r="D432">
        <v>2019</v>
      </c>
      <c r="E432" s="5">
        <f t="shared" si="6"/>
        <v>43466</v>
      </c>
      <c r="F432" t="s">
        <v>139</v>
      </c>
      <c r="G432" t="s">
        <v>39</v>
      </c>
      <c r="H432" t="s">
        <v>140</v>
      </c>
      <c r="I432" t="s">
        <v>21</v>
      </c>
      <c r="J432">
        <v>71</v>
      </c>
      <c r="K432">
        <v>1.17</v>
      </c>
      <c r="L432">
        <v>221.93</v>
      </c>
      <c r="M432" t="s">
        <v>22</v>
      </c>
      <c r="N432">
        <v>31.45</v>
      </c>
      <c r="O432">
        <v>16.46</v>
      </c>
      <c r="P432">
        <v>18</v>
      </c>
    </row>
    <row r="433" spans="1:16" x14ac:dyDescent="0.25">
      <c r="A433" t="s">
        <v>154</v>
      </c>
      <c r="B433" t="s">
        <v>155</v>
      </c>
      <c r="C433" t="s">
        <v>156</v>
      </c>
      <c r="D433">
        <v>2022</v>
      </c>
      <c r="E433" s="5">
        <f t="shared" si="6"/>
        <v>44562</v>
      </c>
      <c r="F433" t="s">
        <v>157</v>
      </c>
      <c r="G433" t="s">
        <v>23</v>
      </c>
      <c r="H433" t="s">
        <v>158</v>
      </c>
      <c r="I433" t="s">
        <v>21</v>
      </c>
      <c r="J433">
        <v>93</v>
      </c>
      <c r="K433">
        <v>181.61</v>
      </c>
      <c r="L433">
        <v>217.15</v>
      </c>
      <c r="M433" t="s">
        <v>22</v>
      </c>
      <c r="N433">
        <v>145.61000000000001</v>
      </c>
      <c r="O433">
        <v>1738.79</v>
      </c>
      <c r="P433">
        <v>20</v>
      </c>
    </row>
    <row r="434" spans="1:16" x14ac:dyDescent="0.25">
      <c r="A434" t="s">
        <v>169</v>
      </c>
      <c r="B434" t="s">
        <v>170</v>
      </c>
      <c r="C434" t="s">
        <v>171</v>
      </c>
      <c r="D434">
        <v>2018</v>
      </c>
      <c r="E434" s="5">
        <f t="shared" si="6"/>
        <v>43101</v>
      </c>
      <c r="F434" t="s">
        <v>165</v>
      </c>
      <c r="G434" t="s">
        <v>28</v>
      </c>
      <c r="H434" t="s">
        <v>172</v>
      </c>
      <c r="I434" t="s">
        <v>167</v>
      </c>
      <c r="J434">
        <v>83</v>
      </c>
      <c r="K434">
        <v>11.31</v>
      </c>
      <c r="L434">
        <v>161.72</v>
      </c>
      <c r="M434" t="s">
        <v>24</v>
      </c>
      <c r="N434">
        <v>33.799999999999997</v>
      </c>
      <c r="O434">
        <v>17.72</v>
      </c>
      <c r="P434">
        <v>9</v>
      </c>
    </row>
    <row r="435" spans="1:16" x14ac:dyDescent="0.25">
      <c r="A435" t="s">
        <v>100</v>
      </c>
      <c r="B435" t="s">
        <v>41</v>
      </c>
      <c r="C435" t="s">
        <v>42</v>
      </c>
      <c r="D435">
        <v>2014</v>
      </c>
      <c r="E435" s="5">
        <f t="shared" si="6"/>
        <v>41640</v>
      </c>
      <c r="F435" t="s">
        <v>98</v>
      </c>
      <c r="G435" t="s">
        <v>19</v>
      </c>
      <c r="H435" t="s">
        <v>99</v>
      </c>
      <c r="I435" t="s">
        <v>21</v>
      </c>
      <c r="J435">
        <v>81</v>
      </c>
      <c r="K435">
        <v>36.53</v>
      </c>
      <c r="L435">
        <v>85.74</v>
      </c>
      <c r="M435" t="s">
        <v>24</v>
      </c>
      <c r="N435">
        <v>176.66</v>
      </c>
      <c r="O435">
        <v>214.56</v>
      </c>
      <c r="P435">
        <v>9</v>
      </c>
    </row>
    <row r="436" spans="1:16" x14ac:dyDescent="0.25">
      <c r="A436" t="s">
        <v>80</v>
      </c>
      <c r="B436" t="s">
        <v>81</v>
      </c>
      <c r="C436" t="s">
        <v>82</v>
      </c>
      <c r="D436">
        <v>2011</v>
      </c>
      <c r="E436" s="5">
        <f t="shared" si="6"/>
        <v>40544</v>
      </c>
      <c r="F436" t="s">
        <v>83</v>
      </c>
      <c r="G436" t="s">
        <v>37</v>
      </c>
      <c r="H436" t="s">
        <v>84</v>
      </c>
      <c r="I436" t="s">
        <v>85</v>
      </c>
      <c r="J436">
        <v>85</v>
      </c>
      <c r="K436">
        <v>68.12</v>
      </c>
      <c r="L436">
        <v>62.56</v>
      </c>
      <c r="M436" t="s">
        <v>24</v>
      </c>
      <c r="N436">
        <v>129.34</v>
      </c>
      <c r="O436">
        <v>630.99</v>
      </c>
      <c r="P436">
        <v>16</v>
      </c>
    </row>
    <row r="437" spans="1:16" x14ac:dyDescent="0.25">
      <c r="A437" t="s">
        <v>47</v>
      </c>
      <c r="B437" t="s">
        <v>48</v>
      </c>
      <c r="C437" t="s">
        <v>49</v>
      </c>
      <c r="D437">
        <v>2017</v>
      </c>
      <c r="E437" s="5">
        <f t="shared" si="6"/>
        <v>42736</v>
      </c>
      <c r="F437" t="s">
        <v>35</v>
      </c>
      <c r="G437" t="s">
        <v>28</v>
      </c>
      <c r="H437" t="s">
        <v>50</v>
      </c>
      <c r="I437" t="s">
        <v>51</v>
      </c>
      <c r="J437">
        <v>88</v>
      </c>
      <c r="K437">
        <v>3.69</v>
      </c>
      <c r="L437">
        <v>13.49</v>
      </c>
      <c r="M437" t="s">
        <v>24</v>
      </c>
      <c r="N437">
        <v>97.97</v>
      </c>
      <c r="O437">
        <v>55.76</v>
      </c>
      <c r="P437">
        <v>17</v>
      </c>
    </row>
    <row r="438" spans="1:16" x14ac:dyDescent="0.25">
      <c r="A438" t="s">
        <v>168</v>
      </c>
      <c r="B438" t="s">
        <v>163</v>
      </c>
      <c r="C438" t="s">
        <v>164</v>
      </c>
      <c r="D438">
        <v>2021</v>
      </c>
      <c r="E438" s="5">
        <f t="shared" si="6"/>
        <v>44197</v>
      </c>
      <c r="F438" t="s">
        <v>165</v>
      </c>
      <c r="G438" t="s">
        <v>28</v>
      </c>
      <c r="H438" t="s">
        <v>166</v>
      </c>
      <c r="I438" t="s">
        <v>167</v>
      </c>
      <c r="J438">
        <v>80</v>
      </c>
      <c r="K438">
        <v>9.48</v>
      </c>
      <c r="L438">
        <v>230.02</v>
      </c>
      <c r="M438" t="s">
        <v>24</v>
      </c>
      <c r="N438">
        <v>22.19</v>
      </c>
      <c r="O438">
        <v>71.39</v>
      </c>
      <c r="P438">
        <v>8</v>
      </c>
    </row>
    <row r="439" spans="1:16" x14ac:dyDescent="0.25">
      <c r="A439" t="s">
        <v>90</v>
      </c>
      <c r="B439" t="s">
        <v>59</v>
      </c>
      <c r="C439" t="s">
        <v>91</v>
      </c>
      <c r="D439">
        <v>2019</v>
      </c>
      <c r="E439" s="5">
        <f t="shared" si="6"/>
        <v>43466</v>
      </c>
      <c r="F439" t="s">
        <v>35</v>
      </c>
      <c r="G439" t="s">
        <v>27</v>
      </c>
      <c r="H439" t="s">
        <v>92</v>
      </c>
      <c r="I439" t="s">
        <v>21</v>
      </c>
      <c r="J439">
        <v>100</v>
      </c>
      <c r="K439">
        <v>1.4</v>
      </c>
      <c r="L439">
        <v>155.94</v>
      </c>
      <c r="M439" t="s">
        <v>24</v>
      </c>
      <c r="N439">
        <v>10.26</v>
      </c>
      <c r="O439">
        <v>6.26</v>
      </c>
      <c r="P439">
        <v>18</v>
      </c>
    </row>
    <row r="440" spans="1:16" x14ac:dyDescent="0.25">
      <c r="A440" t="s">
        <v>44</v>
      </c>
      <c r="B440" t="s">
        <v>45</v>
      </c>
      <c r="C440" t="s">
        <v>42</v>
      </c>
      <c r="D440">
        <v>2018</v>
      </c>
      <c r="E440" s="5">
        <f t="shared" si="6"/>
        <v>43101</v>
      </c>
      <c r="F440" t="s">
        <v>35</v>
      </c>
      <c r="G440" t="s">
        <v>28</v>
      </c>
      <c r="H440" t="s">
        <v>43</v>
      </c>
      <c r="I440" t="s">
        <v>21</v>
      </c>
      <c r="J440">
        <v>70</v>
      </c>
      <c r="K440">
        <v>23.44</v>
      </c>
      <c r="L440">
        <v>70.36</v>
      </c>
      <c r="M440" t="s">
        <v>24</v>
      </c>
      <c r="N440">
        <v>53.71</v>
      </c>
      <c r="O440">
        <v>233.44</v>
      </c>
      <c r="P440">
        <v>15</v>
      </c>
    </row>
    <row r="441" spans="1:16" x14ac:dyDescent="0.25">
      <c r="A441" t="s">
        <v>192</v>
      </c>
      <c r="B441" t="s">
        <v>193</v>
      </c>
      <c r="C441" t="s">
        <v>194</v>
      </c>
      <c r="D441">
        <v>2021</v>
      </c>
      <c r="E441" s="5">
        <f t="shared" si="6"/>
        <v>44197</v>
      </c>
      <c r="F441" t="s">
        <v>35</v>
      </c>
      <c r="G441" t="s">
        <v>27</v>
      </c>
      <c r="H441" t="s">
        <v>92</v>
      </c>
      <c r="I441" t="s">
        <v>51</v>
      </c>
      <c r="J441">
        <v>94</v>
      </c>
      <c r="K441">
        <v>0.98</v>
      </c>
      <c r="L441">
        <v>178.96</v>
      </c>
      <c r="M441" t="s">
        <v>24</v>
      </c>
      <c r="N441">
        <v>70.38</v>
      </c>
      <c r="O441">
        <v>41.89</v>
      </c>
      <c r="P441">
        <v>2</v>
      </c>
    </row>
    <row r="442" spans="1:16" x14ac:dyDescent="0.25">
      <c r="A442" t="s">
        <v>178</v>
      </c>
      <c r="B442" t="s">
        <v>179</v>
      </c>
      <c r="C442" t="s">
        <v>180</v>
      </c>
      <c r="D442">
        <v>2019</v>
      </c>
      <c r="E442" s="5">
        <f t="shared" si="6"/>
        <v>43466</v>
      </c>
      <c r="F442" t="s">
        <v>89</v>
      </c>
      <c r="G442" t="s">
        <v>37</v>
      </c>
      <c r="H442" t="s">
        <v>84</v>
      </c>
      <c r="I442" t="s">
        <v>167</v>
      </c>
      <c r="J442">
        <v>80</v>
      </c>
      <c r="K442">
        <v>7.25</v>
      </c>
      <c r="L442">
        <v>229.27</v>
      </c>
      <c r="M442" t="s">
        <v>24</v>
      </c>
      <c r="N442">
        <v>65.5</v>
      </c>
      <c r="O442">
        <v>50.16</v>
      </c>
      <c r="P442">
        <v>11</v>
      </c>
    </row>
    <row r="443" spans="1:16" x14ac:dyDescent="0.25">
      <c r="A443" t="s">
        <v>97</v>
      </c>
      <c r="B443" t="s">
        <v>41</v>
      </c>
      <c r="C443" t="s">
        <v>42</v>
      </c>
      <c r="D443">
        <v>2012</v>
      </c>
      <c r="E443" s="5">
        <f t="shared" si="6"/>
        <v>40909</v>
      </c>
      <c r="F443" t="s">
        <v>98</v>
      </c>
      <c r="G443" t="s">
        <v>28</v>
      </c>
      <c r="H443" t="s">
        <v>99</v>
      </c>
      <c r="I443" t="s">
        <v>21</v>
      </c>
      <c r="J443">
        <v>71</v>
      </c>
      <c r="K443">
        <v>30.5</v>
      </c>
      <c r="L443">
        <v>167.38</v>
      </c>
      <c r="M443" t="s">
        <v>22</v>
      </c>
      <c r="N443">
        <v>70.599999999999994</v>
      </c>
      <c r="O443">
        <v>137.13999999999999</v>
      </c>
      <c r="P443">
        <v>10</v>
      </c>
    </row>
    <row r="444" spans="1:16" x14ac:dyDescent="0.25">
      <c r="A444" t="s">
        <v>150</v>
      </c>
      <c r="B444" t="s">
        <v>151</v>
      </c>
      <c r="C444" t="s">
        <v>151</v>
      </c>
      <c r="D444">
        <v>2014</v>
      </c>
      <c r="E444" s="5">
        <f t="shared" si="6"/>
        <v>41640</v>
      </c>
      <c r="F444" t="s">
        <v>152</v>
      </c>
      <c r="G444" t="s">
        <v>23</v>
      </c>
      <c r="H444" t="s">
        <v>153</v>
      </c>
      <c r="I444" t="s">
        <v>51</v>
      </c>
      <c r="J444">
        <v>83</v>
      </c>
      <c r="K444">
        <v>9.9700000000000006</v>
      </c>
      <c r="L444">
        <v>95.85</v>
      </c>
      <c r="M444" t="s">
        <v>24</v>
      </c>
      <c r="N444">
        <v>121.49</v>
      </c>
      <c r="O444">
        <v>61.04</v>
      </c>
      <c r="P444">
        <v>17</v>
      </c>
    </row>
    <row r="445" spans="1:16" x14ac:dyDescent="0.25">
      <c r="A445" t="s">
        <v>183</v>
      </c>
      <c r="B445" t="s">
        <v>184</v>
      </c>
      <c r="C445" t="s">
        <v>125</v>
      </c>
      <c r="D445">
        <v>2018</v>
      </c>
      <c r="E445" s="5">
        <f t="shared" si="6"/>
        <v>43101</v>
      </c>
      <c r="F445" t="s">
        <v>35</v>
      </c>
      <c r="G445" t="s">
        <v>27</v>
      </c>
      <c r="H445" t="s">
        <v>185</v>
      </c>
      <c r="I445" t="s">
        <v>21</v>
      </c>
      <c r="J445">
        <v>86</v>
      </c>
      <c r="K445">
        <v>3.43</v>
      </c>
      <c r="L445">
        <v>191.81</v>
      </c>
      <c r="M445" t="s">
        <v>24</v>
      </c>
      <c r="N445">
        <v>30.55</v>
      </c>
      <c r="O445">
        <v>17.399999999999999</v>
      </c>
      <c r="P445">
        <v>4</v>
      </c>
    </row>
    <row r="446" spans="1:16" x14ac:dyDescent="0.25">
      <c r="A446" t="s">
        <v>15</v>
      </c>
      <c r="B446" t="s">
        <v>16</v>
      </c>
      <c r="C446" t="s">
        <v>17</v>
      </c>
      <c r="D446">
        <v>2013</v>
      </c>
      <c r="E446" s="5">
        <f t="shared" si="6"/>
        <v>41275</v>
      </c>
      <c r="F446" t="s">
        <v>18</v>
      </c>
      <c r="G446" t="s">
        <v>28</v>
      </c>
      <c r="H446" t="s">
        <v>20</v>
      </c>
      <c r="I446" t="s">
        <v>21</v>
      </c>
      <c r="J446">
        <v>95</v>
      </c>
      <c r="K446">
        <v>80.09</v>
      </c>
      <c r="L446">
        <v>138.46</v>
      </c>
      <c r="M446" t="s">
        <v>24</v>
      </c>
      <c r="N446">
        <v>166.73</v>
      </c>
      <c r="O446">
        <v>566.55999999999995</v>
      </c>
      <c r="P446">
        <v>12</v>
      </c>
    </row>
    <row r="447" spans="1:16" x14ac:dyDescent="0.25">
      <c r="A447" t="s">
        <v>77</v>
      </c>
      <c r="B447" t="s">
        <v>78</v>
      </c>
      <c r="C447" t="s">
        <v>49</v>
      </c>
      <c r="D447">
        <v>2019</v>
      </c>
      <c r="E447" s="5">
        <f t="shared" si="6"/>
        <v>43466</v>
      </c>
      <c r="F447" t="s">
        <v>18</v>
      </c>
      <c r="G447" t="s">
        <v>23</v>
      </c>
      <c r="H447" t="s">
        <v>79</v>
      </c>
      <c r="I447" t="s">
        <v>21</v>
      </c>
      <c r="J447">
        <v>76</v>
      </c>
      <c r="K447">
        <v>6.93</v>
      </c>
      <c r="L447">
        <v>192.35</v>
      </c>
      <c r="M447" t="s">
        <v>22</v>
      </c>
      <c r="N447">
        <v>93.81</v>
      </c>
      <c r="O447">
        <v>60.72</v>
      </c>
      <c r="P447">
        <v>18</v>
      </c>
    </row>
    <row r="448" spans="1:16" x14ac:dyDescent="0.25">
      <c r="A448" t="s">
        <v>181</v>
      </c>
      <c r="B448" t="s">
        <v>62</v>
      </c>
      <c r="C448" t="s">
        <v>63</v>
      </c>
      <c r="D448">
        <v>2017</v>
      </c>
      <c r="E448" s="5">
        <f t="shared" si="6"/>
        <v>42736</v>
      </c>
      <c r="F448" t="s">
        <v>18</v>
      </c>
      <c r="G448" t="s">
        <v>37</v>
      </c>
      <c r="H448" t="s">
        <v>64</v>
      </c>
      <c r="I448" t="s">
        <v>65</v>
      </c>
      <c r="J448">
        <v>81</v>
      </c>
      <c r="K448">
        <v>8.06</v>
      </c>
      <c r="L448">
        <v>22.1</v>
      </c>
      <c r="M448" t="s">
        <v>22</v>
      </c>
      <c r="N448">
        <v>113.99</v>
      </c>
      <c r="O448">
        <v>61.35</v>
      </c>
      <c r="P448">
        <v>11</v>
      </c>
    </row>
    <row r="449" spans="1:16" x14ac:dyDescent="0.25">
      <c r="A449" t="s">
        <v>90</v>
      </c>
      <c r="B449" t="s">
        <v>59</v>
      </c>
      <c r="C449" t="s">
        <v>91</v>
      </c>
      <c r="D449">
        <v>2019</v>
      </c>
      <c r="E449" s="5">
        <f t="shared" si="6"/>
        <v>43466</v>
      </c>
      <c r="F449" t="s">
        <v>35</v>
      </c>
      <c r="G449" t="s">
        <v>23</v>
      </c>
      <c r="H449" t="s">
        <v>92</v>
      </c>
      <c r="I449" t="s">
        <v>21</v>
      </c>
      <c r="J449">
        <v>81</v>
      </c>
      <c r="K449">
        <v>0.47</v>
      </c>
      <c r="L449">
        <v>84.7</v>
      </c>
      <c r="M449" t="s">
        <v>24</v>
      </c>
      <c r="N449">
        <v>137.43</v>
      </c>
      <c r="O449">
        <v>71.8</v>
      </c>
      <c r="P449">
        <v>5</v>
      </c>
    </row>
    <row r="450" spans="1:16" x14ac:dyDescent="0.25">
      <c r="A450" t="s">
        <v>192</v>
      </c>
      <c r="B450" t="s">
        <v>193</v>
      </c>
      <c r="C450" t="s">
        <v>194</v>
      </c>
      <c r="D450">
        <v>2021</v>
      </c>
      <c r="E450" s="5">
        <f t="shared" si="6"/>
        <v>44197</v>
      </c>
      <c r="F450" t="s">
        <v>35</v>
      </c>
      <c r="G450" t="s">
        <v>23</v>
      </c>
      <c r="H450" t="s">
        <v>92</v>
      </c>
      <c r="I450" t="s">
        <v>51</v>
      </c>
      <c r="J450">
        <v>87</v>
      </c>
      <c r="K450">
        <v>8.52</v>
      </c>
      <c r="L450">
        <v>204.36</v>
      </c>
      <c r="M450" t="s">
        <v>24</v>
      </c>
      <c r="N450">
        <v>177.5</v>
      </c>
      <c r="O450">
        <v>104.92</v>
      </c>
      <c r="P450">
        <v>12</v>
      </c>
    </row>
    <row r="451" spans="1:16" x14ac:dyDescent="0.25">
      <c r="A451" t="s">
        <v>160</v>
      </c>
      <c r="B451" t="s">
        <v>155</v>
      </c>
      <c r="C451" t="s">
        <v>161</v>
      </c>
      <c r="D451">
        <v>2019</v>
      </c>
      <c r="E451" s="5">
        <f t="shared" ref="E451:E501" si="7">DATE(D451,1,1)</f>
        <v>43466</v>
      </c>
      <c r="F451" t="s">
        <v>18</v>
      </c>
      <c r="G451" t="s">
        <v>27</v>
      </c>
      <c r="H451" t="s">
        <v>158</v>
      </c>
      <c r="I451" t="s">
        <v>21</v>
      </c>
      <c r="J451">
        <v>71</v>
      </c>
      <c r="K451">
        <v>0.55000000000000004</v>
      </c>
      <c r="L451">
        <v>99.42</v>
      </c>
      <c r="M451" t="s">
        <v>22</v>
      </c>
      <c r="N451">
        <v>121.87</v>
      </c>
      <c r="O451">
        <v>69.180000000000007</v>
      </c>
      <c r="P451">
        <v>10</v>
      </c>
    </row>
    <row r="452" spans="1:16" x14ac:dyDescent="0.25">
      <c r="A452" t="s">
        <v>46</v>
      </c>
      <c r="B452" t="s">
        <v>41</v>
      </c>
      <c r="C452" t="s">
        <v>42</v>
      </c>
      <c r="D452">
        <v>2017</v>
      </c>
      <c r="E452" s="5">
        <f t="shared" si="7"/>
        <v>42736</v>
      </c>
      <c r="F452" t="s">
        <v>35</v>
      </c>
      <c r="G452" t="s">
        <v>23</v>
      </c>
      <c r="H452" t="s">
        <v>43</v>
      </c>
      <c r="I452" t="s">
        <v>21</v>
      </c>
      <c r="J452">
        <v>62</v>
      </c>
      <c r="K452">
        <v>4.72</v>
      </c>
      <c r="L452">
        <v>249.82</v>
      </c>
      <c r="M452" t="s">
        <v>24</v>
      </c>
      <c r="N452">
        <v>168.03</v>
      </c>
      <c r="O452">
        <v>89.75</v>
      </c>
      <c r="P452">
        <v>9</v>
      </c>
    </row>
    <row r="453" spans="1:16" x14ac:dyDescent="0.25">
      <c r="A453" t="s">
        <v>80</v>
      </c>
      <c r="B453" t="s">
        <v>81</v>
      </c>
      <c r="C453" t="s">
        <v>82</v>
      </c>
      <c r="D453">
        <v>2011</v>
      </c>
      <c r="E453" s="5">
        <f t="shared" si="7"/>
        <v>40544</v>
      </c>
      <c r="F453" t="s">
        <v>83</v>
      </c>
      <c r="G453" t="s">
        <v>23</v>
      </c>
      <c r="H453" t="s">
        <v>84</v>
      </c>
      <c r="I453" t="s">
        <v>85</v>
      </c>
      <c r="J453">
        <v>85</v>
      </c>
      <c r="K453">
        <v>116.45</v>
      </c>
      <c r="L453">
        <v>246.99</v>
      </c>
      <c r="M453" t="s">
        <v>24</v>
      </c>
      <c r="N453">
        <v>121.11</v>
      </c>
      <c r="O453">
        <v>1226.3499999999999</v>
      </c>
      <c r="P453">
        <v>15</v>
      </c>
    </row>
    <row r="454" spans="1:16" x14ac:dyDescent="0.25">
      <c r="A454" t="s">
        <v>71</v>
      </c>
      <c r="B454" t="s">
        <v>16</v>
      </c>
      <c r="C454" t="s">
        <v>17</v>
      </c>
      <c r="D454">
        <v>2002</v>
      </c>
      <c r="E454" s="5">
        <f t="shared" si="7"/>
        <v>37257</v>
      </c>
      <c r="F454" t="s">
        <v>18</v>
      </c>
      <c r="G454" t="s">
        <v>70</v>
      </c>
      <c r="H454" t="s">
        <v>20</v>
      </c>
      <c r="I454" t="s">
        <v>21</v>
      </c>
      <c r="J454">
        <v>75</v>
      </c>
      <c r="K454">
        <v>2.38</v>
      </c>
      <c r="L454">
        <v>231.47</v>
      </c>
      <c r="M454" t="s">
        <v>22</v>
      </c>
      <c r="N454">
        <v>110</v>
      </c>
      <c r="O454">
        <v>60.19</v>
      </c>
      <c r="P454">
        <v>7</v>
      </c>
    </row>
    <row r="455" spans="1:16" x14ac:dyDescent="0.25">
      <c r="A455" t="s">
        <v>159</v>
      </c>
      <c r="B455" t="s">
        <v>155</v>
      </c>
      <c r="C455" t="s">
        <v>156</v>
      </c>
      <c r="D455">
        <v>2016</v>
      </c>
      <c r="E455" s="5">
        <f t="shared" si="7"/>
        <v>42370</v>
      </c>
      <c r="F455" t="s">
        <v>157</v>
      </c>
      <c r="G455" t="s">
        <v>23</v>
      </c>
      <c r="H455" t="s">
        <v>158</v>
      </c>
      <c r="I455" t="s">
        <v>21</v>
      </c>
      <c r="J455">
        <v>84</v>
      </c>
      <c r="K455">
        <v>12.96</v>
      </c>
      <c r="L455">
        <v>23.85</v>
      </c>
      <c r="M455" t="s">
        <v>24</v>
      </c>
      <c r="N455">
        <v>108.44</v>
      </c>
      <c r="O455">
        <v>72.19</v>
      </c>
      <c r="P455">
        <v>15</v>
      </c>
    </row>
    <row r="456" spans="1:16" x14ac:dyDescent="0.25">
      <c r="A456" t="s">
        <v>97</v>
      </c>
      <c r="B456" t="s">
        <v>41</v>
      </c>
      <c r="C456" t="s">
        <v>42</v>
      </c>
      <c r="D456">
        <v>2012</v>
      </c>
      <c r="E456" s="5">
        <f t="shared" si="7"/>
        <v>40909</v>
      </c>
      <c r="F456" t="s">
        <v>98</v>
      </c>
      <c r="G456" t="s">
        <v>19</v>
      </c>
      <c r="H456" t="s">
        <v>99</v>
      </c>
      <c r="I456" t="s">
        <v>21</v>
      </c>
      <c r="J456">
        <v>91</v>
      </c>
      <c r="K456">
        <v>20.7</v>
      </c>
      <c r="L456">
        <v>162.96</v>
      </c>
      <c r="M456" t="s">
        <v>22</v>
      </c>
      <c r="N456">
        <v>125.1</v>
      </c>
      <c r="O456">
        <v>216.27</v>
      </c>
      <c r="P456">
        <v>15</v>
      </c>
    </row>
    <row r="457" spans="1:16" x14ac:dyDescent="0.25">
      <c r="A457" t="s">
        <v>114</v>
      </c>
      <c r="B457" t="s">
        <v>78</v>
      </c>
      <c r="C457" t="s">
        <v>115</v>
      </c>
      <c r="D457">
        <v>2015</v>
      </c>
      <c r="E457" s="5">
        <f t="shared" si="7"/>
        <v>42005</v>
      </c>
      <c r="F457" t="s">
        <v>18</v>
      </c>
      <c r="G457" t="s">
        <v>23</v>
      </c>
      <c r="H457" t="s">
        <v>116</v>
      </c>
      <c r="I457" t="s">
        <v>21</v>
      </c>
      <c r="J457">
        <v>92</v>
      </c>
      <c r="K457">
        <v>1.71</v>
      </c>
      <c r="L457">
        <v>138.16</v>
      </c>
      <c r="M457" t="s">
        <v>22</v>
      </c>
      <c r="N457">
        <v>112.69</v>
      </c>
      <c r="O457">
        <v>53.82</v>
      </c>
      <c r="P457">
        <v>4</v>
      </c>
    </row>
    <row r="458" spans="1:16" x14ac:dyDescent="0.25">
      <c r="A458" t="s">
        <v>80</v>
      </c>
      <c r="B458" t="s">
        <v>81</v>
      </c>
      <c r="C458" t="s">
        <v>82</v>
      </c>
      <c r="D458">
        <v>2011</v>
      </c>
      <c r="E458" s="5">
        <f t="shared" si="7"/>
        <v>40544</v>
      </c>
      <c r="F458" t="s">
        <v>83</v>
      </c>
      <c r="G458" t="s">
        <v>23</v>
      </c>
      <c r="H458" t="s">
        <v>84</v>
      </c>
      <c r="I458" t="s">
        <v>85</v>
      </c>
      <c r="J458">
        <v>82</v>
      </c>
      <c r="K458">
        <v>175.7</v>
      </c>
      <c r="L458">
        <v>246.99</v>
      </c>
      <c r="M458" t="s">
        <v>24</v>
      </c>
      <c r="N458">
        <v>121.11</v>
      </c>
      <c r="O458">
        <v>1887.16</v>
      </c>
      <c r="P458">
        <v>12</v>
      </c>
    </row>
    <row r="459" spans="1:16" x14ac:dyDescent="0.25">
      <c r="A459" t="s">
        <v>95</v>
      </c>
      <c r="B459" t="s">
        <v>96</v>
      </c>
      <c r="C459" t="s">
        <v>42</v>
      </c>
      <c r="D459">
        <v>2020</v>
      </c>
      <c r="E459" s="5">
        <f t="shared" si="7"/>
        <v>43831</v>
      </c>
      <c r="F459" t="s">
        <v>18</v>
      </c>
      <c r="G459" t="s">
        <v>27</v>
      </c>
      <c r="H459" t="s">
        <v>94</v>
      </c>
      <c r="I459" t="s">
        <v>21</v>
      </c>
      <c r="J459">
        <v>86</v>
      </c>
      <c r="K459">
        <v>6.81</v>
      </c>
      <c r="L459">
        <v>26.37</v>
      </c>
      <c r="M459" t="s">
        <v>22</v>
      </c>
      <c r="N459">
        <v>155.63</v>
      </c>
      <c r="O459">
        <v>73.58</v>
      </c>
      <c r="P459">
        <v>19</v>
      </c>
    </row>
    <row r="460" spans="1:16" x14ac:dyDescent="0.25">
      <c r="A460" t="s">
        <v>103</v>
      </c>
      <c r="B460" t="s">
        <v>104</v>
      </c>
      <c r="C460" t="s">
        <v>105</v>
      </c>
      <c r="D460">
        <v>2015</v>
      </c>
      <c r="E460" s="5">
        <f t="shared" si="7"/>
        <v>42005</v>
      </c>
      <c r="F460" t="s">
        <v>18</v>
      </c>
      <c r="G460" t="s">
        <v>23</v>
      </c>
      <c r="H460" t="s">
        <v>106</v>
      </c>
      <c r="I460" t="s">
        <v>21</v>
      </c>
      <c r="J460">
        <v>76</v>
      </c>
      <c r="K460">
        <v>0.95</v>
      </c>
      <c r="L460">
        <v>1.67</v>
      </c>
      <c r="M460" t="s">
        <v>24</v>
      </c>
      <c r="N460">
        <v>92.85</v>
      </c>
      <c r="O460">
        <v>53.04</v>
      </c>
      <c r="P460">
        <v>8</v>
      </c>
    </row>
    <row r="461" spans="1:16" x14ac:dyDescent="0.25">
      <c r="A461" t="s">
        <v>111</v>
      </c>
      <c r="B461" t="s">
        <v>112</v>
      </c>
      <c r="C461" t="s">
        <v>113</v>
      </c>
      <c r="D461">
        <v>2016</v>
      </c>
      <c r="E461" s="5">
        <f t="shared" si="7"/>
        <v>42370</v>
      </c>
      <c r="F461" t="s">
        <v>18</v>
      </c>
      <c r="G461" t="s">
        <v>28</v>
      </c>
      <c r="H461" t="s">
        <v>76</v>
      </c>
      <c r="I461" t="s">
        <v>21</v>
      </c>
      <c r="J461">
        <v>79</v>
      </c>
      <c r="K461">
        <v>3.84</v>
      </c>
      <c r="L461">
        <v>189.35</v>
      </c>
      <c r="M461" t="s">
        <v>22</v>
      </c>
      <c r="N461">
        <v>126.95</v>
      </c>
      <c r="O461">
        <v>70.33</v>
      </c>
      <c r="P461">
        <v>7</v>
      </c>
    </row>
    <row r="462" spans="1:16" x14ac:dyDescent="0.25">
      <c r="A462" t="s">
        <v>87</v>
      </c>
      <c r="B462" t="s">
        <v>88</v>
      </c>
      <c r="C462" t="s">
        <v>88</v>
      </c>
      <c r="D462">
        <v>2016</v>
      </c>
      <c r="E462" s="5">
        <f t="shared" si="7"/>
        <v>42370</v>
      </c>
      <c r="F462" t="s">
        <v>89</v>
      </c>
      <c r="G462" t="s">
        <v>25</v>
      </c>
      <c r="H462" t="s">
        <v>84</v>
      </c>
      <c r="I462" t="s">
        <v>85</v>
      </c>
      <c r="J462">
        <v>69</v>
      </c>
      <c r="K462">
        <v>4.4800000000000004</v>
      </c>
      <c r="L462">
        <v>166.61</v>
      </c>
      <c r="M462" t="s">
        <v>24</v>
      </c>
      <c r="N462">
        <v>77.989999999999995</v>
      </c>
      <c r="O462">
        <v>38.159999999999997</v>
      </c>
      <c r="P462">
        <v>15</v>
      </c>
    </row>
    <row r="463" spans="1:16" x14ac:dyDescent="0.25">
      <c r="A463" t="s">
        <v>46</v>
      </c>
      <c r="B463" t="s">
        <v>41</v>
      </c>
      <c r="C463" t="s">
        <v>42</v>
      </c>
      <c r="D463">
        <v>2017</v>
      </c>
      <c r="E463" s="5">
        <f t="shared" si="7"/>
        <v>42736</v>
      </c>
      <c r="F463" t="s">
        <v>35</v>
      </c>
      <c r="G463" t="s">
        <v>23</v>
      </c>
      <c r="H463" t="s">
        <v>43</v>
      </c>
      <c r="I463" t="s">
        <v>21</v>
      </c>
      <c r="J463">
        <v>65</v>
      </c>
      <c r="K463">
        <v>4.32</v>
      </c>
      <c r="L463">
        <v>249.82</v>
      </c>
      <c r="M463" t="s">
        <v>24</v>
      </c>
      <c r="N463">
        <v>168.03</v>
      </c>
      <c r="O463">
        <v>95.7</v>
      </c>
      <c r="P463">
        <v>8</v>
      </c>
    </row>
    <row r="464" spans="1:16" x14ac:dyDescent="0.25">
      <c r="A464" t="s">
        <v>80</v>
      </c>
      <c r="B464" t="s">
        <v>81</v>
      </c>
      <c r="C464" t="s">
        <v>82</v>
      </c>
      <c r="D464">
        <v>2011</v>
      </c>
      <c r="E464" s="5">
        <f t="shared" si="7"/>
        <v>40544</v>
      </c>
      <c r="F464" t="s">
        <v>83</v>
      </c>
      <c r="G464" t="s">
        <v>37</v>
      </c>
      <c r="H464" t="s">
        <v>84</v>
      </c>
      <c r="I464" t="s">
        <v>85</v>
      </c>
      <c r="J464">
        <v>79</v>
      </c>
      <c r="K464">
        <v>57.26</v>
      </c>
      <c r="L464">
        <v>62.56</v>
      </c>
      <c r="M464" t="s">
        <v>24</v>
      </c>
      <c r="N464">
        <v>129.34</v>
      </c>
      <c r="O464">
        <v>538.13</v>
      </c>
      <c r="P464">
        <v>18</v>
      </c>
    </row>
    <row r="465" spans="1:16" x14ac:dyDescent="0.25">
      <c r="A465" t="s">
        <v>95</v>
      </c>
      <c r="B465" t="s">
        <v>96</v>
      </c>
      <c r="C465" t="s">
        <v>42</v>
      </c>
      <c r="D465">
        <v>2020</v>
      </c>
      <c r="E465" s="5">
        <f t="shared" si="7"/>
        <v>43831</v>
      </c>
      <c r="F465" t="s">
        <v>18</v>
      </c>
      <c r="G465" t="s">
        <v>28</v>
      </c>
      <c r="H465" t="s">
        <v>94</v>
      </c>
      <c r="I465" t="s">
        <v>21</v>
      </c>
      <c r="J465">
        <v>92</v>
      </c>
      <c r="K465">
        <v>4.6900000000000004</v>
      </c>
      <c r="L465">
        <v>123.06</v>
      </c>
      <c r="M465" t="s">
        <v>22</v>
      </c>
      <c r="N465">
        <v>89.54</v>
      </c>
      <c r="O465">
        <v>51.05</v>
      </c>
      <c r="P465">
        <v>15</v>
      </c>
    </row>
    <row r="466" spans="1:16" x14ac:dyDescent="0.25">
      <c r="A466" t="s">
        <v>77</v>
      </c>
      <c r="B466" t="s">
        <v>78</v>
      </c>
      <c r="C466" t="s">
        <v>49</v>
      </c>
      <c r="D466">
        <v>2019</v>
      </c>
      <c r="E466" s="5">
        <f t="shared" si="7"/>
        <v>43466</v>
      </c>
      <c r="F466" t="s">
        <v>18</v>
      </c>
      <c r="G466" t="s">
        <v>25</v>
      </c>
      <c r="H466" t="s">
        <v>79</v>
      </c>
      <c r="I466" t="s">
        <v>21</v>
      </c>
      <c r="J466">
        <v>77</v>
      </c>
      <c r="K466">
        <v>5.92</v>
      </c>
      <c r="L466">
        <v>61.75</v>
      </c>
      <c r="M466" t="s">
        <v>24</v>
      </c>
      <c r="N466">
        <v>132.93</v>
      </c>
      <c r="O466">
        <v>77.849999999999994</v>
      </c>
      <c r="P466">
        <v>3</v>
      </c>
    </row>
    <row r="467" spans="1:16" x14ac:dyDescent="0.25">
      <c r="A467" t="s">
        <v>147</v>
      </c>
      <c r="B467" t="s">
        <v>145</v>
      </c>
      <c r="C467" t="s">
        <v>145</v>
      </c>
      <c r="D467">
        <v>2012</v>
      </c>
      <c r="E467" s="5">
        <f t="shared" si="7"/>
        <v>40909</v>
      </c>
      <c r="F467" t="s">
        <v>35</v>
      </c>
      <c r="G467" t="s">
        <v>19</v>
      </c>
      <c r="H467" t="s">
        <v>76</v>
      </c>
      <c r="I467" t="s">
        <v>21</v>
      </c>
      <c r="J467">
        <v>94</v>
      </c>
      <c r="K467">
        <v>9.4</v>
      </c>
      <c r="L467">
        <v>246.89</v>
      </c>
      <c r="M467" t="s">
        <v>24</v>
      </c>
      <c r="N467">
        <v>110.34</v>
      </c>
      <c r="O467">
        <v>89.26</v>
      </c>
      <c r="P467">
        <v>4</v>
      </c>
    </row>
    <row r="468" spans="1:16" x14ac:dyDescent="0.25">
      <c r="A468" t="s">
        <v>178</v>
      </c>
      <c r="B468" t="s">
        <v>179</v>
      </c>
      <c r="C468" t="s">
        <v>180</v>
      </c>
      <c r="D468">
        <v>2019</v>
      </c>
      <c r="E468" s="5">
        <f t="shared" si="7"/>
        <v>43466</v>
      </c>
      <c r="F468" t="s">
        <v>89</v>
      </c>
      <c r="G468" t="s">
        <v>28</v>
      </c>
      <c r="H468" t="s">
        <v>84</v>
      </c>
      <c r="I468" t="s">
        <v>167</v>
      </c>
      <c r="J468">
        <v>69</v>
      </c>
      <c r="K468">
        <v>7.83</v>
      </c>
      <c r="L468">
        <v>164.48</v>
      </c>
      <c r="M468" t="s">
        <v>24</v>
      </c>
      <c r="N468">
        <v>181.74</v>
      </c>
      <c r="O468">
        <v>97.45</v>
      </c>
      <c r="P468">
        <v>10</v>
      </c>
    </row>
    <row r="469" spans="1:16" x14ac:dyDescent="0.25">
      <c r="A469" t="s">
        <v>100</v>
      </c>
      <c r="B469" t="s">
        <v>41</v>
      </c>
      <c r="C469" t="s">
        <v>42</v>
      </c>
      <c r="D469">
        <v>2014</v>
      </c>
      <c r="E469" s="5">
        <f t="shared" si="7"/>
        <v>41640</v>
      </c>
      <c r="F469" t="s">
        <v>98</v>
      </c>
      <c r="G469" t="s">
        <v>27</v>
      </c>
      <c r="H469" t="s">
        <v>99</v>
      </c>
      <c r="I469" t="s">
        <v>21</v>
      </c>
      <c r="J469">
        <v>76</v>
      </c>
      <c r="K469">
        <v>21.79</v>
      </c>
      <c r="L469">
        <v>133.19999999999999</v>
      </c>
      <c r="M469" t="s">
        <v>22</v>
      </c>
      <c r="N469">
        <v>87.97</v>
      </c>
      <c r="O469">
        <v>170.76</v>
      </c>
      <c r="P469">
        <v>11</v>
      </c>
    </row>
    <row r="470" spans="1:16" x14ac:dyDescent="0.25">
      <c r="A470" t="s">
        <v>95</v>
      </c>
      <c r="B470" t="s">
        <v>96</v>
      </c>
      <c r="C470" t="s">
        <v>42</v>
      </c>
      <c r="D470">
        <v>2020</v>
      </c>
      <c r="E470" s="5">
        <f t="shared" si="7"/>
        <v>43831</v>
      </c>
      <c r="F470" t="s">
        <v>18</v>
      </c>
      <c r="G470" t="s">
        <v>28</v>
      </c>
      <c r="H470" t="s">
        <v>94</v>
      </c>
      <c r="I470" t="s">
        <v>21</v>
      </c>
      <c r="J470">
        <v>90</v>
      </c>
      <c r="K470">
        <v>4.05</v>
      </c>
      <c r="L470">
        <v>123.06</v>
      </c>
      <c r="M470" t="s">
        <v>22</v>
      </c>
      <c r="N470">
        <v>89.54</v>
      </c>
      <c r="O470">
        <v>44.17</v>
      </c>
      <c r="P470">
        <v>13</v>
      </c>
    </row>
    <row r="471" spans="1:16" x14ac:dyDescent="0.25">
      <c r="A471" t="s">
        <v>148</v>
      </c>
      <c r="B471" t="s">
        <v>145</v>
      </c>
      <c r="C471" t="s">
        <v>145</v>
      </c>
      <c r="D471">
        <v>2024</v>
      </c>
      <c r="E471" s="5">
        <f t="shared" si="7"/>
        <v>45292</v>
      </c>
      <c r="F471" t="s">
        <v>35</v>
      </c>
      <c r="G471" t="s">
        <v>28</v>
      </c>
      <c r="H471" t="s">
        <v>149</v>
      </c>
      <c r="I471" t="s">
        <v>21</v>
      </c>
      <c r="J471">
        <v>79</v>
      </c>
      <c r="K471">
        <v>8.7899999999999991</v>
      </c>
      <c r="L471">
        <v>107.14</v>
      </c>
      <c r="M471" t="s">
        <v>24</v>
      </c>
      <c r="N471">
        <v>26.05</v>
      </c>
      <c r="O471">
        <v>57.64</v>
      </c>
      <c r="P471">
        <v>14</v>
      </c>
    </row>
    <row r="472" spans="1:16" x14ac:dyDescent="0.25">
      <c r="A472" t="s">
        <v>15</v>
      </c>
      <c r="B472" t="s">
        <v>16</v>
      </c>
      <c r="C472" t="s">
        <v>17</v>
      </c>
      <c r="D472">
        <v>2013</v>
      </c>
      <c r="E472" s="5">
        <f t="shared" si="7"/>
        <v>41275</v>
      </c>
      <c r="F472" t="s">
        <v>18</v>
      </c>
      <c r="G472" t="s">
        <v>27</v>
      </c>
      <c r="H472" t="s">
        <v>20</v>
      </c>
      <c r="I472" t="s">
        <v>21</v>
      </c>
      <c r="J472">
        <v>71</v>
      </c>
      <c r="K472">
        <v>73.59</v>
      </c>
      <c r="L472">
        <v>86.64</v>
      </c>
      <c r="M472" t="s">
        <v>24</v>
      </c>
      <c r="N472">
        <v>56.58</v>
      </c>
      <c r="O472">
        <v>124.52</v>
      </c>
      <c r="P472">
        <v>15</v>
      </c>
    </row>
    <row r="473" spans="1:16" x14ac:dyDescent="0.25">
      <c r="A473" t="s">
        <v>100</v>
      </c>
      <c r="B473" t="s">
        <v>41</v>
      </c>
      <c r="C473" t="s">
        <v>42</v>
      </c>
      <c r="D473">
        <v>2014</v>
      </c>
      <c r="E473" s="5">
        <f t="shared" si="7"/>
        <v>41640</v>
      </c>
      <c r="F473" t="s">
        <v>98</v>
      </c>
      <c r="G473" t="s">
        <v>23</v>
      </c>
      <c r="H473" t="s">
        <v>99</v>
      </c>
      <c r="I473" t="s">
        <v>21</v>
      </c>
      <c r="J473">
        <v>100</v>
      </c>
      <c r="K473">
        <v>11.55</v>
      </c>
      <c r="L473">
        <v>61.1</v>
      </c>
      <c r="M473" t="s">
        <v>22</v>
      </c>
      <c r="N473">
        <v>84.25</v>
      </c>
      <c r="O473">
        <v>63.21</v>
      </c>
      <c r="P473">
        <v>6</v>
      </c>
    </row>
    <row r="474" spans="1:16" x14ac:dyDescent="0.25">
      <c r="A474" t="s">
        <v>97</v>
      </c>
      <c r="B474" t="s">
        <v>41</v>
      </c>
      <c r="C474" t="s">
        <v>42</v>
      </c>
      <c r="D474">
        <v>2012</v>
      </c>
      <c r="E474" s="5">
        <f t="shared" si="7"/>
        <v>40909</v>
      </c>
      <c r="F474" t="s">
        <v>98</v>
      </c>
      <c r="G474" t="s">
        <v>19</v>
      </c>
      <c r="H474" t="s">
        <v>99</v>
      </c>
      <c r="I474" t="s">
        <v>21</v>
      </c>
      <c r="J474">
        <v>95</v>
      </c>
      <c r="K474">
        <v>24.89</v>
      </c>
      <c r="L474">
        <v>162.96</v>
      </c>
      <c r="M474" t="s">
        <v>22</v>
      </c>
      <c r="N474">
        <v>125.1</v>
      </c>
      <c r="O474">
        <v>205.27</v>
      </c>
      <c r="P474">
        <v>15</v>
      </c>
    </row>
    <row r="475" spans="1:16" x14ac:dyDescent="0.25">
      <c r="A475" t="s">
        <v>32</v>
      </c>
      <c r="B475" t="s">
        <v>33</v>
      </c>
      <c r="C475" t="s">
        <v>34</v>
      </c>
      <c r="D475">
        <v>2015</v>
      </c>
      <c r="E475" s="5">
        <f t="shared" si="7"/>
        <v>42005</v>
      </c>
      <c r="F475" t="s">
        <v>35</v>
      </c>
      <c r="G475" t="s">
        <v>27</v>
      </c>
      <c r="H475" t="s">
        <v>36</v>
      </c>
      <c r="I475" t="s">
        <v>21</v>
      </c>
      <c r="J475">
        <v>87</v>
      </c>
      <c r="K475">
        <v>35.840000000000003</v>
      </c>
      <c r="L475">
        <v>221.31</v>
      </c>
      <c r="M475" t="s">
        <v>24</v>
      </c>
      <c r="N475">
        <v>151.41999999999999</v>
      </c>
      <c r="O475">
        <v>248.35</v>
      </c>
      <c r="P475">
        <v>10</v>
      </c>
    </row>
    <row r="476" spans="1:16" x14ac:dyDescent="0.25">
      <c r="A476" t="s">
        <v>111</v>
      </c>
      <c r="B476" t="s">
        <v>112</v>
      </c>
      <c r="C476" t="s">
        <v>113</v>
      </c>
      <c r="D476">
        <v>2016</v>
      </c>
      <c r="E476" s="5">
        <f t="shared" si="7"/>
        <v>42370</v>
      </c>
      <c r="F476" t="s">
        <v>18</v>
      </c>
      <c r="G476" t="s">
        <v>27</v>
      </c>
      <c r="H476" t="s">
        <v>76</v>
      </c>
      <c r="I476" t="s">
        <v>21</v>
      </c>
      <c r="J476">
        <v>79</v>
      </c>
      <c r="K476">
        <v>8.5399999999999991</v>
      </c>
      <c r="L476">
        <v>206.41</v>
      </c>
      <c r="M476" t="s">
        <v>24</v>
      </c>
      <c r="N476">
        <v>5.22</v>
      </c>
      <c r="O476">
        <v>86.68</v>
      </c>
      <c r="P476">
        <v>15</v>
      </c>
    </row>
    <row r="477" spans="1:16" x14ac:dyDescent="0.25">
      <c r="A477" t="s">
        <v>108</v>
      </c>
      <c r="B477" t="s">
        <v>109</v>
      </c>
      <c r="C477" t="s">
        <v>110</v>
      </c>
      <c r="D477">
        <v>2011</v>
      </c>
      <c r="E477" s="5">
        <f t="shared" si="7"/>
        <v>40544</v>
      </c>
      <c r="F477" t="s">
        <v>18</v>
      </c>
      <c r="G477" t="s">
        <v>28</v>
      </c>
      <c r="H477" t="s">
        <v>76</v>
      </c>
      <c r="I477" t="s">
        <v>21</v>
      </c>
      <c r="J477">
        <v>79</v>
      </c>
      <c r="K477">
        <v>3.5</v>
      </c>
      <c r="L477">
        <v>27.05</v>
      </c>
      <c r="M477" t="s">
        <v>22</v>
      </c>
      <c r="N477">
        <v>36.36</v>
      </c>
      <c r="O477">
        <v>18.93</v>
      </c>
      <c r="P477">
        <v>15</v>
      </c>
    </row>
    <row r="478" spans="1:16" x14ac:dyDescent="0.25">
      <c r="A478" t="s">
        <v>68</v>
      </c>
      <c r="B478" t="s">
        <v>16</v>
      </c>
      <c r="C478" t="s">
        <v>17</v>
      </c>
      <c r="D478">
        <v>2004</v>
      </c>
      <c r="E478" s="5">
        <f t="shared" si="7"/>
        <v>37987</v>
      </c>
      <c r="F478" t="s">
        <v>18</v>
      </c>
      <c r="G478" t="s">
        <v>28</v>
      </c>
      <c r="H478" t="s">
        <v>20</v>
      </c>
      <c r="I478" t="s">
        <v>21</v>
      </c>
      <c r="J478">
        <v>70</v>
      </c>
      <c r="K478">
        <v>9.26</v>
      </c>
      <c r="L478">
        <v>240.67</v>
      </c>
      <c r="M478" t="s">
        <v>22</v>
      </c>
      <c r="N478">
        <v>56.77</v>
      </c>
      <c r="O478">
        <v>34.380000000000003</v>
      </c>
      <c r="P478">
        <v>14</v>
      </c>
    </row>
    <row r="479" spans="1:16" x14ac:dyDescent="0.25">
      <c r="A479" t="s">
        <v>154</v>
      </c>
      <c r="B479" t="s">
        <v>155</v>
      </c>
      <c r="C479" t="s">
        <v>156</v>
      </c>
      <c r="D479">
        <v>2022</v>
      </c>
      <c r="E479" s="5">
        <f t="shared" si="7"/>
        <v>44562</v>
      </c>
      <c r="F479" t="s">
        <v>157</v>
      </c>
      <c r="G479" t="s">
        <v>28</v>
      </c>
      <c r="H479" t="s">
        <v>158</v>
      </c>
      <c r="I479" t="s">
        <v>21</v>
      </c>
      <c r="J479">
        <v>76</v>
      </c>
      <c r="K479">
        <v>250.39</v>
      </c>
      <c r="L479">
        <v>88.4</v>
      </c>
      <c r="M479" t="s">
        <v>24</v>
      </c>
      <c r="N479">
        <v>40.369999999999997</v>
      </c>
      <c r="O479">
        <v>470.32</v>
      </c>
      <c r="P479">
        <v>10</v>
      </c>
    </row>
    <row r="480" spans="1:16" x14ac:dyDescent="0.25">
      <c r="A480" t="s">
        <v>162</v>
      </c>
      <c r="B480" t="s">
        <v>163</v>
      </c>
      <c r="C480" t="s">
        <v>164</v>
      </c>
      <c r="D480">
        <v>2018</v>
      </c>
      <c r="E480" s="5">
        <f t="shared" si="7"/>
        <v>43101</v>
      </c>
      <c r="F480" t="s">
        <v>165</v>
      </c>
      <c r="G480" t="s">
        <v>27</v>
      </c>
      <c r="H480" t="s">
        <v>166</v>
      </c>
      <c r="I480" t="s">
        <v>167</v>
      </c>
      <c r="J480">
        <v>77</v>
      </c>
      <c r="K480">
        <v>2.61</v>
      </c>
      <c r="L480">
        <v>140.12</v>
      </c>
      <c r="M480" t="s">
        <v>24</v>
      </c>
      <c r="N480">
        <v>135.27000000000001</v>
      </c>
      <c r="O480">
        <v>66.010000000000005</v>
      </c>
      <c r="P480">
        <v>14</v>
      </c>
    </row>
    <row r="481" spans="1:16" x14ac:dyDescent="0.25">
      <c r="A481" t="s">
        <v>57</v>
      </c>
      <c r="B481" t="s">
        <v>54</v>
      </c>
      <c r="C481" t="s">
        <v>55</v>
      </c>
      <c r="D481">
        <v>2015</v>
      </c>
      <c r="E481" s="5">
        <f t="shared" si="7"/>
        <v>42005</v>
      </c>
      <c r="F481" t="s">
        <v>35</v>
      </c>
      <c r="G481" t="s">
        <v>28</v>
      </c>
      <c r="H481" t="s">
        <v>56</v>
      </c>
      <c r="I481" t="s">
        <v>21</v>
      </c>
      <c r="J481">
        <v>68</v>
      </c>
      <c r="K481">
        <v>9.2200000000000006</v>
      </c>
      <c r="L481">
        <v>138.37</v>
      </c>
      <c r="M481" t="s">
        <v>24</v>
      </c>
      <c r="N481">
        <v>88.4</v>
      </c>
      <c r="O481">
        <v>52.71</v>
      </c>
      <c r="P481">
        <v>3</v>
      </c>
    </row>
    <row r="482" spans="1:16" x14ac:dyDescent="0.25">
      <c r="A482" t="s">
        <v>127</v>
      </c>
      <c r="B482" t="s">
        <v>128</v>
      </c>
      <c r="C482" t="s">
        <v>129</v>
      </c>
      <c r="D482">
        <v>2018</v>
      </c>
      <c r="E482" s="5">
        <f t="shared" si="7"/>
        <v>43101</v>
      </c>
      <c r="F482" t="s">
        <v>130</v>
      </c>
      <c r="G482" t="s">
        <v>27</v>
      </c>
      <c r="H482" t="s">
        <v>131</v>
      </c>
      <c r="I482" t="s">
        <v>51</v>
      </c>
      <c r="J482">
        <v>90</v>
      </c>
      <c r="K482">
        <v>6.38</v>
      </c>
      <c r="L482">
        <v>19.39</v>
      </c>
      <c r="M482" t="s">
        <v>24</v>
      </c>
      <c r="N482">
        <v>189.32</v>
      </c>
      <c r="O482">
        <v>87.66</v>
      </c>
      <c r="P482">
        <v>8</v>
      </c>
    </row>
    <row r="483" spans="1:16" x14ac:dyDescent="0.25">
      <c r="A483" t="s">
        <v>173</v>
      </c>
      <c r="B483" t="s">
        <v>174</v>
      </c>
      <c r="C483" t="s">
        <v>42</v>
      </c>
      <c r="D483">
        <v>2018</v>
      </c>
      <c r="E483" s="5">
        <f t="shared" si="7"/>
        <v>43101</v>
      </c>
      <c r="F483" t="s">
        <v>165</v>
      </c>
      <c r="G483" t="s">
        <v>23</v>
      </c>
      <c r="H483" t="s">
        <v>99</v>
      </c>
      <c r="I483" t="s">
        <v>167</v>
      </c>
      <c r="J483">
        <v>91</v>
      </c>
      <c r="K483">
        <v>7.77</v>
      </c>
      <c r="L483">
        <v>190.21</v>
      </c>
      <c r="M483" t="s">
        <v>24</v>
      </c>
      <c r="N483">
        <v>92.54</v>
      </c>
      <c r="O483">
        <v>87.06</v>
      </c>
      <c r="P483">
        <v>19</v>
      </c>
    </row>
    <row r="484" spans="1:16" x14ac:dyDescent="0.25">
      <c r="A484" t="s">
        <v>111</v>
      </c>
      <c r="B484" t="s">
        <v>112</v>
      </c>
      <c r="C484" t="s">
        <v>113</v>
      </c>
      <c r="D484">
        <v>2016</v>
      </c>
      <c r="E484" s="5">
        <f t="shared" si="7"/>
        <v>42370</v>
      </c>
      <c r="F484" t="s">
        <v>18</v>
      </c>
      <c r="G484" t="s">
        <v>23</v>
      </c>
      <c r="H484" t="s">
        <v>76</v>
      </c>
      <c r="I484" t="s">
        <v>21</v>
      </c>
      <c r="J484">
        <v>75</v>
      </c>
      <c r="K484">
        <v>8.5</v>
      </c>
      <c r="L484">
        <v>137.97</v>
      </c>
      <c r="M484" t="s">
        <v>22</v>
      </c>
      <c r="N484">
        <v>93.69</v>
      </c>
      <c r="O484">
        <v>46.01</v>
      </c>
      <c r="P484">
        <v>10</v>
      </c>
    </row>
    <row r="485" spans="1:16" x14ac:dyDescent="0.25">
      <c r="A485" t="s">
        <v>95</v>
      </c>
      <c r="B485" t="s">
        <v>96</v>
      </c>
      <c r="C485" t="s">
        <v>42</v>
      </c>
      <c r="D485">
        <v>2020</v>
      </c>
      <c r="E485" s="5">
        <f t="shared" si="7"/>
        <v>43831</v>
      </c>
      <c r="F485" t="s">
        <v>18</v>
      </c>
      <c r="G485" t="s">
        <v>23</v>
      </c>
      <c r="H485" t="s">
        <v>94</v>
      </c>
      <c r="I485" t="s">
        <v>21</v>
      </c>
      <c r="J485">
        <v>81</v>
      </c>
      <c r="K485">
        <v>9.08</v>
      </c>
      <c r="L485">
        <v>179.87</v>
      </c>
      <c r="M485" t="s">
        <v>22</v>
      </c>
      <c r="N485">
        <v>156.66999999999999</v>
      </c>
      <c r="O485">
        <v>75.349999999999994</v>
      </c>
      <c r="P485">
        <v>8</v>
      </c>
    </row>
    <row r="486" spans="1:16" x14ac:dyDescent="0.25">
      <c r="A486" t="s">
        <v>100</v>
      </c>
      <c r="B486" t="s">
        <v>41</v>
      </c>
      <c r="C486" t="s">
        <v>42</v>
      </c>
      <c r="D486">
        <v>2014</v>
      </c>
      <c r="E486" s="5">
        <f t="shared" si="7"/>
        <v>41640</v>
      </c>
      <c r="F486" t="s">
        <v>98</v>
      </c>
      <c r="G486" t="s">
        <v>27</v>
      </c>
      <c r="H486" t="s">
        <v>99</v>
      </c>
      <c r="I486" t="s">
        <v>21</v>
      </c>
      <c r="J486">
        <v>75</v>
      </c>
      <c r="K486">
        <v>23.02</v>
      </c>
      <c r="L486">
        <v>133.19999999999999</v>
      </c>
      <c r="M486" t="s">
        <v>22</v>
      </c>
      <c r="N486">
        <v>87.97</v>
      </c>
      <c r="O486">
        <v>165.6</v>
      </c>
      <c r="P486">
        <v>12</v>
      </c>
    </row>
    <row r="487" spans="1:16" x14ac:dyDescent="0.25">
      <c r="A487" t="s">
        <v>192</v>
      </c>
      <c r="B487" t="s">
        <v>193</v>
      </c>
      <c r="C487" t="s">
        <v>194</v>
      </c>
      <c r="D487">
        <v>2021</v>
      </c>
      <c r="E487" s="5">
        <f t="shared" si="7"/>
        <v>44197</v>
      </c>
      <c r="F487" t="s">
        <v>35</v>
      </c>
      <c r="G487" t="s">
        <v>27</v>
      </c>
      <c r="H487" t="s">
        <v>92</v>
      </c>
      <c r="I487" t="s">
        <v>51</v>
      </c>
      <c r="J487">
        <v>89</v>
      </c>
      <c r="K487">
        <v>1.28</v>
      </c>
      <c r="L487">
        <v>178.96</v>
      </c>
      <c r="M487" t="s">
        <v>24</v>
      </c>
      <c r="N487">
        <v>70.38</v>
      </c>
      <c r="O487">
        <v>45.78</v>
      </c>
      <c r="P487">
        <v>1</v>
      </c>
    </row>
    <row r="488" spans="1:16" x14ac:dyDescent="0.25">
      <c r="A488" t="s">
        <v>68</v>
      </c>
      <c r="B488" t="s">
        <v>16</v>
      </c>
      <c r="C488" t="s">
        <v>17</v>
      </c>
      <c r="D488">
        <v>2004</v>
      </c>
      <c r="E488" s="5">
        <f t="shared" si="7"/>
        <v>37987</v>
      </c>
      <c r="F488" t="s">
        <v>18</v>
      </c>
      <c r="G488" t="s">
        <v>28</v>
      </c>
      <c r="H488" t="s">
        <v>20</v>
      </c>
      <c r="I488" t="s">
        <v>21</v>
      </c>
      <c r="J488">
        <v>72</v>
      </c>
      <c r="K488">
        <v>11.21</v>
      </c>
      <c r="L488">
        <v>240.67</v>
      </c>
      <c r="M488" t="s">
        <v>22</v>
      </c>
      <c r="N488">
        <v>56.77</v>
      </c>
      <c r="O488">
        <v>34.1</v>
      </c>
      <c r="P488">
        <v>15</v>
      </c>
    </row>
    <row r="489" spans="1:16" x14ac:dyDescent="0.25">
      <c r="A489" t="s">
        <v>100</v>
      </c>
      <c r="B489" t="s">
        <v>41</v>
      </c>
      <c r="C489" t="s">
        <v>42</v>
      </c>
      <c r="D489">
        <v>2014</v>
      </c>
      <c r="E489" s="5">
        <f t="shared" si="7"/>
        <v>41640</v>
      </c>
      <c r="F489" t="s">
        <v>98</v>
      </c>
      <c r="G489" t="s">
        <v>27</v>
      </c>
      <c r="H489" t="s">
        <v>99</v>
      </c>
      <c r="I489" t="s">
        <v>21</v>
      </c>
      <c r="J489">
        <v>73</v>
      </c>
      <c r="K489">
        <v>19.440000000000001</v>
      </c>
      <c r="L489">
        <v>133.19999999999999</v>
      </c>
      <c r="M489" t="s">
        <v>22</v>
      </c>
      <c r="N489">
        <v>87.97</v>
      </c>
      <c r="O489">
        <v>184.9</v>
      </c>
      <c r="P489">
        <v>10</v>
      </c>
    </row>
    <row r="490" spans="1:16" x14ac:dyDescent="0.25">
      <c r="A490" t="s">
        <v>15</v>
      </c>
      <c r="B490" t="s">
        <v>16</v>
      </c>
      <c r="C490" t="s">
        <v>17</v>
      </c>
      <c r="D490">
        <v>2013</v>
      </c>
      <c r="E490" s="5">
        <f t="shared" si="7"/>
        <v>41275</v>
      </c>
      <c r="F490" t="s">
        <v>18</v>
      </c>
      <c r="G490" t="s">
        <v>27</v>
      </c>
      <c r="H490" t="s">
        <v>20</v>
      </c>
      <c r="I490" t="s">
        <v>21</v>
      </c>
      <c r="J490">
        <v>68</v>
      </c>
      <c r="K490">
        <v>88.14</v>
      </c>
      <c r="L490">
        <v>86.64</v>
      </c>
      <c r="M490" t="s">
        <v>24</v>
      </c>
      <c r="N490">
        <v>56.58</v>
      </c>
      <c r="O490">
        <v>144.46</v>
      </c>
      <c r="P490">
        <v>14</v>
      </c>
    </row>
    <row r="491" spans="1:16" x14ac:dyDescent="0.25">
      <c r="A491" t="s">
        <v>80</v>
      </c>
      <c r="B491" t="s">
        <v>81</v>
      </c>
      <c r="C491" t="s">
        <v>82</v>
      </c>
      <c r="D491">
        <v>2011</v>
      </c>
      <c r="E491" s="5">
        <f t="shared" si="7"/>
        <v>40544</v>
      </c>
      <c r="F491" t="s">
        <v>83</v>
      </c>
      <c r="G491" t="s">
        <v>28</v>
      </c>
      <c r="H491" t="s">
        <v>84</v>
      </c>
      <c r="I491" t="s">
        <v>85</v>
      </c>
      <c r="J491">
        <v>89</v>
      </c>
      <c r="K491">
        <v>62.44</v>
      </c>
      <c r="L491">
        <v>110.53</v>
      </c>
      <c r="M491" t="s">
        <v>24</v>
      </c>
      <c r="N491">
        <v>144.13999999999999</v>
      </c>
      <c r="O491">
        <v>157.99</v>
      </c>
      <c r="P491">
        <v>11</v>
      </c>
    </row>
    <row r="492" spans="1:16" x14ac:dyDescent="0.25">
      <c r="A492" t="s">
        <v>169</v>
      </c>
      <c r="B492" t="s">
        <v>170</v>
      </c>
      <c r="C492" t="s">
        <v>171</v>
      </c>
      <c r="D492">
        <v>2018</v>
      </c>
      <c r="E492" s="5">
        <f t="shared" si="7"/>
        <v>43101</v>
      </c>
      <c r="F492" t="s">
        <v>165</v>
      </c>
      <c r="G492" t="s">
        <v>23</v>
      </c>
      <c r="H492" t="s">
        <v>172</v>
      </c>
      <c r="I492" t="s">
        <v>167</v>
      </c>
      <c r="J492">
        <v>80</v>
      </c>
      <c r="K492">
        <v>5.42</v>
      </c>
      <c r="L492">
        <v>20.58</v>
      </c>
      <c r="M492" t="s">
        <v>24</v>
      </c>
      <c r="N492">
        <v>174.75</v>
      </c>
      <c r="O492">
        <v>107.57</v>
      </c>
      <c r="P492">
        <v>7</v>
      </c>
    </row>
    <row r="493" spans="1:16" x14ac:dyDescent="0.25">
      <c r="A493" t="s">
        <v>80</v>
      </c>
      <c r="B493" t="s">
        <v>81</v>
      </c>
      <c r="C493" t="s">
        <v>82</v>
      </c>
      <c r="D493">
        <v>2011</v>
      </c>
      <c r="E493" s="5">
        <f t="shared" si="7"/>
        <v>40544</v>
      </c>
      <c r="F493" t="s">
        <v>83</v>
      </c>
      <c r="G493" t="s">
        <v>86</v>
      </c>
      <c r="H493" t="s">
        <v>84</v>
      </c>
      <c r="I493" t="s">
        <v>85</v>
      </c>
      <c r="J493">
        <v>90</v>
      </c>
      <c r="K493">
        <v>122.74</v>
      </c>
      <c r="L493">
        <v>35.46</v>
      </c>
      <c r="M493" t="s">
        <v>24</v>
      </c>
      <c r="N493">
        <v>50.1</v>
      </c>
      <c r="O493">
        <v>888.16</v>
      </c>
      <c r="P493">
        <v>6</v>
      </c>
    </row>
    <row r="494" spans="1:16" x14ac:dyDescent="0.25">
      <c r="A494" t="s">
        <v>80</v>
      </c>
      <c r="B494" t="s">
        <v>81</v>
      </c>
      <c r="C494" t="s">
        <v>82</v>
      </c>
      <c r="D494">
        <v>2011</v>
      </c>
      <c r="E494" s="5">
        <f t="shared" si="7"/>
        <v>40544</v>
      </c>
      <c r="F494" t="s">
        <v>83</v>
      </c>
      <c r="G494" t="s">
        <v>23</v>
      </c>
      <c r="H494" t="s">
        <v>84</v>
      </c>
      <c r="I494" t="s">
        <v>85</v>
      </c>
      <c r="J494">
        <v>83</v>
      </c>
      <c r="K494">
        <v>137.94999999999999</v>
      </c>
      <c r="L494">
        <v>246.99</v>
      </c>
      <c r="M494" t="s">
        <v>24</v>
      </c>
      <c r="N494">
        <v>121.11</v>
      </c>
      <c r="O494">
        <v>1562.85</v>
      </c>
      <c r="P494">
        <v>13</v>
      </c>
    </row>
    <row r="495" spans="1:16" x14ac:dyDescent="0.25">
      <c r="A495" t="s">
        <v>186</v>
      </c>
      <c r="B495" t="s">
        <v>187</v>
      </c>
      <c r="C495" t="s">
        <v>171</v>
      </c>
      <c r="D495">
        <v>2012</v>
      </c>
      <c r="E495" s="5">
        <f t="shared" si="7"/>
        <v>40909</v>
      </c>
      <c r="F495" t="s">
        <v>35</v>
      </c>
      <c r="G495" t="s">
        <v>19</v>
      </c>
      <c r="H495" t="s">
        <v>76</v>
      </c>
      <c r="I495" t="s">
        <v>51</v>
      </c>
      <c r="J495">
        <v>75</v>
      </c>
      <c r="K495">
        <v>7.65</v>
      </c>
      <c r="L495">
        <v>60.15</v>
      </c>
      <c r="M495" t="s">
        <v>24</v>
      </c>
      <c r="N495">
        <v>91.62</v>
      </c>
      <c r="O495">
        <v>50.78</v>
      </c>
      <c r="P495">
        <v>14</v>
      </c>
    </row>
    <row r="496" spans="1:16" x14ac:dyDescent="0.25">
      <c r="A496" t="s">
        <v>144</v>
      </c>
      <c r="B496" t="s">
        <v>145</v>
      </c>
      <c r="C496" t="s">
        <v>145</v>
      </c>
      <c r="D496">
        <v>2018</v>
      </c>
      <c r="E496" s="5">
        <f t="shared" si="7"/>
        <v>43101</v>
      </c>
      <c r="F496" t="s">
        <v>35</v>
      </c>
      <c r="G496" t="s">
        <v>27</v>
      </c>
      <c r="H496" t="s">
        <v>146</v>
      </c>
      <c r="I496" t="s">
        <v>51</v>
      </c>
      <c r="J496">
        <v>70</v>
      </c>
      <c r="K496">
        <v>7.52</v>
      </c>
      <c r="L496">
        <v>52.1</v>
      </c>
      <c r="M496" t="s">
        <v>24</v>
      </c>
      <c r="N496">
        <v>166.81</v>
      </c>
      <c r="O496">
        <v>74.239999999999995</v>
      </c>
      <c r="P496">
        <v>18</v>
      </c>
    </row>
    <row r="497" spans="1:16" x14ac:dyDescent="0.25">
      <c r="A497" t="s">
        <v>57</v>
      </c>
      <c r="B497" t="s">
        <v>54</v>
      </c>
      <c r="C497" t="s">
        <v>55</v>
      </c>
      <c r="D497">
        <v>2015</v>
      </c>
      <c r="E497" s="5">
        <f t="shared" si="7"/>
        <v>42005</v>
      </c>
      <c r="F497" t="s">
        <v>35</v>
      </c>
      <c r="G497" t="s">
        <v>28</v>
      </c>
      <c r="H497" t="s">
        <v>56</v>
      </c>
      <c r="I497" t="s">
        <v>21</v>
      </c>
      <c r="J497">
        <v>69</v>
      </c>
      <c r="K497">
        <v>8.8699999999999992</v>
      </c>
      <c r="L497">
        <v>138.37</v>
      </c>
      <c r="M497" t="s">
        <v>24</v>
      </c>
      <c r="N497">
        <v>88.4</v>
      </c>
      <c r="O497">
        <v>48.2</v>
      </c>
      <c r="P497">
        <v>3</v>
      </c>
    </row>
    <row r="498" spans="1:16" x14ac:dyDescent="0.25">
      <c r="A498" t="s">
        <v>168</v>
      </c>
      <c r="B498" t="s">
        <v>163</v>
      </c>
      <c r="C498" t="s">
        <v>164</v>
      </c>
      <c r="D498">
        <v>2021</v>
      </c>
      <c r="E498" s="5">
        <f t="shared" si="7"/>
        <v>44197</v>
      </c>
      <c r="F498" t="s">
        <v>165</v>
      </c>
      <c r="G498" t="s">
        <v>28</v>
      </c>
      <c r="H498" t="s">
        <v>166</v>
      </c>
      <c r="I498" t="s">
        <v>167</v>
      </c>
      <c r="J498">
        <v>83</v>
      </c>
      <c r="K498">
        <v>7.66</v>
      </c>
      <c r="L498">
        <v>230.02</v>
      </c>
      <c r="M498" t="s">
        <v>24</v>
      </c>
      <c r="N498">
        <v>22.19</v>
      </c>
      <c r="O498">
        <v>76.06</v>
      </c>
      <c r="P498">
        <v>6</v>
      </c>
    </row>
    <row r="499" spans="1:16" x14ac:dyDescent="0.25">
      <c r="A499" t="s">
        <v>57</v>
      </c>
      <c r="B499" t="s">
        <v>54</v>
      </c>
      <c r="C499" t="s">
        <v>55</v>
      </c>
      <c r="D499">
        <v>2015</v>
      </c>
      <c r="E499" s="5">
        <f t="shared" si="7"/>
        <v>42005</v>
      </c>
      <c r="F499" t="s">
        <v>35</v>
      </c>
      <c r="G499" t="s">
        <v>28</v>
      </c>
      <c r="H499" t="s">
        <v>56</v>
      </c>
      <c r="I499" t="s">
        <v>21</v>
      </c>
      <c r="J499">
        <v>69</v>
      </c>
      <c r="K499">
        <v>10.18</v>
      </c>
      <c r="L499">
        <v>138.37</v>
      </c>
      <c r="M499" t="s">
        <v>24</v>
      </c>
      <c r="N499">
        <v>88.4</v>
      </c>
      <c r="O499">
        <v>50.53</v>
      </c>
      <c r="P499">
        <v>3</v>
      </c>
    </row>
    <row r="500" spans="1:16" x14ac:dyDescent="0.25">
      <c r="A500" t="s">
        <v>169</v>
      </c>
      <c r="B500" t="s">
        <v>170</v>
      </c>
      <c r="C500" t="s">
        <v>171</v>
      </c>
      <c r="D500">
        <v>2018</v>
      </c>
      <c r="E500" s="5">
        <f t="shared" si="7"/>
        <v>43101</v>
      </c>
      <c r="F500" t="s">
        <v>165</v>
      </c>
      <c r="G500" t="s">
        <v>23</v>
      </c>
      <c r="H500" t="s">
        <v>172</v>
      </c>
      <c r="I500" t="s">
        <v>167</v>
      </c>
      <c r="J500">
        <v>81</v>
      </c>
      <c r="K500">
        <v>4.8099999999999996</v>
      </c>
      <c r="L500">
        <v>20.58</v>
      </c>
      <c r="M500" t="s">
        <v>24</v>
      </c>
      <c r="N500">
        <v>174.75</v>
      </c>
      <c r="O500">
        <v>104.7</v>
      </c>
      <c r="P500">
        <v>8</v>
      </c>
    </row>
    <row r="501" spans="1:16" x14ac:dyDescent="0.25">
      <c r="A501" t="s">
        <v>168</v>
      </c>
      <c r="B501" t="s">
        <v>163</v>
      </c>
      <c r="C501" t="s">
        <v>164</v>
      </c>
      <c r="D501">
        <v>2021</v>
      </c>
      <c r="E501" s="5">
        <f t="shared" si="7"/>
        <v>44197</v>
      </c>
      <c r="F501" t="s">
        <v>165</v>
      </c>
      <c r="G501" t="s">
        <v>28</v>
      </c>
      <c r="H501" t="s">
        <v>166</v>
      </c>
      <c r="I501" t="s">
        <v>167</v>
      </c>
      <c r="J501">
        <v>80</v>
      </c>
      <c r="K501">
        <v>10.77</v>
      </c>
      <c r="L501">
        <v>230.02</v>
      </c>
      <c r="M501" t="s">
        <v>24</v>
      </c>
      <c r="N501">
        <v>22.19</v>
      </c>
      <c r="O501">
        <v>83.4</v>
      </c>
      <c r="P501">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1EFD-FA29-48B4-8C00-507F0DEF1F9F}">
  <dimension ref="A3:T127"/>
  <sheetViews>
    <sheetView topLeftCell="C1" workbookViewId="0">
      <selection activeCell="G4" sqref="G4"/>
    </sheetView>
  </sheetViews>
  <sheetFormatPr defaultRowHeight="15" x14ac:dyDescent="0.25"/>
  <cols>
    <col min="1" max="1" width="43.140625" bestFit="1" customWidth="1"/>
    <col min="2" max="2" width="26.42578125" bestFit="1" customWidth="1"/>
    <col min="3" max="3" width="19.5703125" bestFit="1" customWidth="1"/>
    <col min="4" max="4" width="14.85546875" bestFit="1" customWidth="1"/>
    <col min="5" max="5" width="19.5703125" bestFit="1" customWidth="1"/>
    <col min="7" max="7" width="19.5703125" bestFit="1" customWidth="1"/>
    <col min="8" max="8" width="16.28515625" bestFit="1" customWidth="1"/>
    <col min="9" max="9" width="17" bestFit="1" customWidth="1"/>
    <col min="10" max="10" width="11.140625" bestFit="1" customWidth="1"/>
    <col min="11" max="11" width="10.42578125" bestFit="1" customWidth="1"/>
    <col min="12" max="12" width="11.140625" bestFit="1" customWidth="1"/>
    <col min="13" max="13" width="4.140625" bestFit="1" customWidth="1"/>
    <col min="14" max="14" width="6.7109375" bestFit="1" customWidth="1"/>
    <col min="15" max="15" width="4.7109375" bestFit="1" customWidth="1"/>
    <col min="16" max="16" width="8.5703125" bestFit="1" customWidth="1"/>
    <col min="17" max="17" width="8" bestFit="1" customWidth="1"/>
    <col min="18" max="18" width="10.28515625" bestFit="1" customWidth="1"/>
    <col min="19" max="19" width="8" bestFit="1" customWidth="1"/>
    <col min="20" max="20" width="11.28515625" bestFit="1" customWidth="1"/>
  </cols>
  <sheetData>
    <row r="3" spans="1:20" x14ac:dyDescent="0.25">
      <c r="A3" s="2" t="s">
        <v>4</v>
      </c>
      <c r="B3" t="s">
        <v>209</v>
      </c>
      <c r="D3" s="2" t="s">
        <v>1</v>
      </c>
      <c r="E3" t="s">
        <v>209</v>
      </c>
      <c r="G3" s="2" t="s">
        <v>209</v>
      </c>
      <c r="H3" s="2" t="s">
        <v>210</v>
      </c>
    </row>
    <row r="4" spans="1:20" x14ac:dyDescent="0.25">
      <c r="A4" s="3" t="s">
        <v>157</v>
      </c>
      <c r="B4">
        <v>26</v>
      </c>
      <c r="D4" s="3" t="s">
        <v>187</v>
      </c>
      <c r="E4">
        <v>4</v>
      </c>
      <c r="G4" s="2" t="s">
        <v>3</v>
      </c>
      <c r="H4" t="s">
        <v>157</v>
      </c>
      <c r="I4" t="s">
        <v>18</v>
      </c>
      <c r="J4" t="s">
        <v>35</v>
      </c>
      <c r="K4" t="s">
        <v>199</v>
      </c>
      <c r="L4" t="s">
        <v>89</v>
      </c>
      <c r="M4" t="s">
        <v>98</v>
      </c>
      <c r="N4" t="s">
        <v>165</v>
      </c>
      <c r="O4" t="s">
        <v>122</v>
      </c>
      <c r="P4" t="s">
        <v>83</v>
      </c>
      <c r="Q4" t="s">
        <v>139</v>
      </c>
      <c r="R4" t="s">
        <v>152</v>
      </c>
      <c r="S4" t="s">
        <v>130</v>
      </c>
      <c r="T4" t="s">
        <v>208</v>
      </c>
    </row>
    <row r="5" spans="1:20" x14ac:dyDescent="0.25">
      <c r="A5" s="3" t="s">
        <v>18</v>
      </c>
      <c r="B5">
        <v>154</v>
      </c>
      <c r="D5" s="3" t="s">
        <v>138</v>
      </c>
      <c r="E5">
        <v>10</v>
      </c>
      <c r="G5" s="3">
        <v>2011</v>
      </c>
      <c r="H5" s="8"/>
      <c r="I5" s="8">
        <v>12</v>
      </c>
      <c r="J5" s="8">
        <v>12</v>
      </c>
      <c r="K5" s="8"/>
      <c r="L5" s="8"/>
      <c r="M5" s="8"/>
      <c r="N5" s="8"/>
      <c r="O5" s="8"/>
      <c r="P5" s="8">
        <v>22</v>
      </c>
      <c r="Q5" s="8"/>
      <c r="R5" s="8"/>
      <c r="S5" s="8"/>
      <c r="T5" s="8">
        <v>46</v>
      </c>
    </row>
    <row r="6" spans="1:20" x14ac:dyDescent="0.25">
      <c r="A6" s="3" t="s">
        <v>35</v>
      </c>
      <c r="B6">
        <v>149</v>
      </c>
      <c r="D6" s="3" t="s">
        <v>104</v>
      </c>
      <c r="E6">
        <v>8</v>
      </c>
      <c r="G6" s="3">
        <v>2015</v>
      </c>
      <c r="H6" s="8"/>
      <c r="I6" s="8">
        <v>26</v>
      </c>
      <c r="J6" s="8">
        <v>18</v>
      </c>
      <c r="K6" s="8"/>
      <c r="L6" s="8"/>
      <c r="M6" s="8"/>
      <c r="N6" s="8"/>
      <c r="O6" s="8"/>
      <c r="P6" s="8"/>
      <c r="Q6" s="8"/>
      <c r="R6" s="8"/>
      <c r="S6" s="8"/>
      <c r="T6" s="8">
        <v>44</v>
      </c>
    </row>
    <row r="7" spans="1:20" x14ac:dyDescent="0.25">
      <c r="A7" s="3" t="s">
        <v>199</v>
      </c>
      <c r="B7">
        <v>2</v>
      </c>
      <c r="D7" s="3" t="s">
        <v>75</v>
      </c>
      <c r="E7">
        <v>6</v>
      </c>
      <c r="G7" s="3">
        <v>2018</v>
      </c>
      <c r="H7" s="8"/>
      <c r="I7" s="8">
        <v>8</v>
      </c>
      <c r="J7" s="8">
        <v>26</v>
      </c>
      <c r="K7" s="8">
        <v>2</v>
      </c>
      <c r="L7" s="8"/>
      <c r="M7" s="8">
        <v>5</v>
      </c>
      <c r="N7" s="8">
        <v>20</v>
      </c>
      <c r="O7" s="8"/>
      <c r="P7" s="8"/>
      <c r="Q7" s="8"/>
      <c r="R7" s="8"/>
      <c r="S7" s="8">
        <v>10</v>
      </c>
      <c r="T7" s="8">
        <v>71</v>
      </c>
    </row>
    <row r="8" spans="1:20" x14ac:dyDescent="0.25">
      <c r="A8" s="3" t="s">
        <v>89</v>
      </c>
      <c r="B8">
        <v>32</v>
      </c>
      <c r="D8" s="3" t="s">
        <v>54</v>
      </c>
      <c r="E8">
        <v>32</v>
      </c>
      <c r="G8" s="3">
        <v>2019</v>
      </c>
      <c r="H8" s="8"/>
      <c r="I8" s="8">
        <v>24</v>
      </c>
      <c r="J8" s="8">
        <v>15</v>
      </c>
      <c r="K8" s="8"/>
      <c r="L8" s="8">
        <v>10</v>
      </c>
      <c r="M8" s="8"/>
      <c r="N8" s="8"/>
      <c r="O8" s="8"/>
      <c r="P8" s="8"/>
      <c r="Q8" s="8">
        <v>10</v>
      </c>
      <c r="R8" s="8"/>
      <c r="S8" s="8"/>
      <c r="T8" s="8">
        <v>59</v>
      </c>
    </row>
    <row r="9" spans="1:20" x14ac:dyDescent="0.25">
      <c r="A9" s="3" t="s">
        <v>98</v>
      </c>
      <c r="B9">
        <v>43</v>
      </c>
      <c r="D9" s="3" t="s">
        <v>145</v>
      </c>
      <c r="E9">
        <v>22</v>
      </c>
      <c r="G9" s="3">
        <v>2021</v>
      </c>
      <c r="H9" s="8"/>
      <c r="I9" s="8"/>
      <c r="J9" s="8">
        <v>12</v>
      </c>
      <c r="K9" s="8"/>
      <c r="L9" s="8">
        <v>12</v>
      </c>
      <c r="M9" s="8">
        <v>7</v>
      </c>
      <c r="N9" s="8">
        <v>7</v>
      </c>
      <c r="O9" s="8"/>
      <c r="P9" s="8"/>
      <c r="Q9" s="8"/>
      <c r="R9" s="8"/>
      <c r="S9" s="8">
        <v>4</v>
      </c>
      <c r="T9" s="8">
        <v>42</v>
      </c>
    </row>
    <row r="10" spans="1:20" x14ac:dyDescent="0.25">
      <c r="A10" s="3" t="s">
        <v>165</v>
      </c>
      <c r="B10">
        <v>27</v>
      </c>
      <c r="D10" s="3" t="s">
        <v>33</v>
      </c>
      <c r="E10">
        <v>18</v>
      </c>
      <c r="G10" s="3" t="s">
        <v>208</v>
      </c>
      <c r="H10" s="8"/>
      <c r="I10" s="8">
        <v>70</v>
      </c>
      <c r="J10" s="8">
        <v>83</v>
      </c>
      <c r="K10" s="8">
        <v>2</v>
      </c>
      <c r="L10" s="8">
        <v>22</v>
      </c>
      <c r="M10" s="8">
        <v>12</v>
      </c>
      <c r="N10" s="8">
        <v>27</v>
      </c>
      <c r="O10" s="8"/>
      <c r="P10" s="8">
        <v>22</v>
      </c>
      <c r="Q10" s="8">
        <v>10</v>
      </c>
      <c r="R10" s="8"/>
      <c r="S10" s="8">
        <v>14</v>
      </c>
      <c r="T10" s="8">
        <v>262</v>
      </c>
    </row>
    <row r="11" spans="1:20" x14ac:dyDescent="0.25">
      <c r="A11" s="3" t="s">
        <v>122</v>
      </c>
      <c r="B11">
        <v>6</v>
      </c>
      <c r="D11" s="3" t="s">
        <v>170</v>
      </c>
      <c r="E11">
        <v>9</v>
      </c>
    </row>
    <row r="12" spans="1:20" x14ac:dyDescent="0.25">
      <c r="A12" s="3" t="s">
        <v>83</v>
      </c>
      <c r="B12">
        <v>22</v>
      </c>
      <c r="D12" s="3" t="s">
        <v>193</v>
      </c>
      <c r="E12">
        <v>12</v>
      </c>
    </row>
    <row r="13" spans="1:20" x14ac:dyDescent="0.25">
      <c r="A13" s="3" t="s">
        <v>139</v>
      </c>
      <c r="B13">
        <v>10</v>
      </c>
      <c r="D13" s="3" t="s">
        <v>155</v>
      </c>
      <c r="E13">
        <v>30</v>
      </c>
    </row>
    <row r="14" spans="1:20" x14ac:dyDescent="0.25">
      <c r="A14" s="3" t="s">
        <v>152</v>
      </c>
      <c r="B14">
        <v>10</v>
      </c>
      <c r="D14" s="3" t="s">
        <v>151</v>
      </c>
      <c r="E14">
        <v>10</v>
      </c>
    </row>
    <row r="15" spans="1:20" x14ac:dyDescent="0.25">
      <c r="A15" s="3" t="s">
        <v>130</v>
      </c>
      <c r="B15">
        <v>19</v>
      </c>
      <c r="D15" s="3" t="s">
        <v>135</v>
      </c>
      <c r="E15">
        <v>2</v>
      </c>
    </row>
    <row r="16" spans="1:20" x14ac:dyDescent="0.25">
      <c r="A16" s="3" t="s">
        <v>208</v>
      </c>
      <c r="B16">
        <v>500</v>
      </c>
      <c r="D16" s="3" t="s">
        <v>48</v>
      </c>
      <c r="E16">
        <v>6</v>
      </c>
    </row>
    <row r="17" spans="4:5" x14ac:dyDescent="0.25">
      <c r="D17" s="3" t="s">
        <v>112</v>
      </c>
      <c r="E17">
        <v>9</v>
      </c>
    </row>
    <row r="18" spans="4:5" x14ac:dyDescent="0.25">
      <c r="D18" s="3" t="s">
        <v>88</v>
      </c>
      <c r="E18">
        <v>10</v>
      </c>
    </row>
    <row r="19" spans="4:5" x14ac:dyDescent="0.25">
      <c r="D19" s="3" t="s">
        <v>174</v>
      </c>
      <c r="E19">
        <v>6</v>
      </c>
    </row>
    <row r="20" spans="4:5" x14ac:dyDescent="0.25">
      <c r="D20" s="3" t="s">
        <v>78</v>
      </c>
      <c r="E20">
        <v>22</v>
      </c>
    </row>
    <row r="21" spans="4:5" x14ac:dyDescent="0.25">
      <c r="D21" s="3" t="s">
        <v>179</v>
      </c>
      <c r="E21">
        <v>10</v>
      </c>
    </row>
    <row r="22" spans="4:5" x14ac:dyDescent="0.25">
      <c r="D22" s="3" t="s">
        <v>81</v>
      </c>
      <c r="E22">
        <v>22</v>
      </c>
    </row>
    <row r="23" spans="4:5" x14ac:dyDescent="0.25">
      <c r="D23" s="3" t="s">
        <v>62</v>
      </c>
      <c r="E23">
        <v>13</v>
      </c>
    </row>
    <row r="24" spans="4:5" x14ac:dyDescent="0.25">
      <c r="D24" s="3" t="s">
        <v>59</v>
      </c>
      <c r="E24">
        <v>13</v>
      </c>
    </row>
    <row r="25" spans="4:5" x14ac:dyDescent="0.25">
      <c r="D25" s="3" t="s">
        <v>163</v>
      </c>
      <c r="E25">
        <v>12</v>
      </c>
    </row>
    <row r="26" spans="4:5" x14ac:dyDescent="0.25">
      <c r="D26" s="3" t="s">
        <v>196</v>
      </c>
      <c r="E26">
        <v>3</v>
      </c>
    </row>
    <row r="27" spans="4:5" x14ac:dyDescent="0.25">
      <c r="D27" s="3" t="s">
        <v>198</v>
      </c>
      <c r="E27">
        <v>2</v>
      </c>
    </row>
    <row r="28" spans="4:5" x14ac:dyDescent="0.25">
      <c r="D28" s="3" t="s">
        <v>16</v>
      </c>
      <c r="E28">
        <v>37</v>
      </c>
    </row>
    <row r="29" spans="4:5" x14ac:dyDescent="0.25">
      <c r="D29" s="3" t="s">
        <v>205</v>
      </c>
      <c r="E29">
        <v>5</v>
      </c>
    </row>
    <row r="30" spans="4:5" x14ac:dyDescent="0.25">
      <c r="D30" s="3" t="s">
        <v>31</v>
      </c>
      <c r="E30">
        <v>5</v>
      </c>
    </row>
    <row r="31" spans="4:5" x14ac:dyDescent="0.25">
      <c r="D31" s="3" t="s">
        <v>118</v>
      </c>
      <c r="E31">
        <v>17</v>
      </c>
    </row>
    <row r="32" spans="4:5" x14ac:dyDescent="0.25">
      <c r="D32" s="3" t="s">
        <v>176</v>
      </c>
      <c r="E32">
        <v>12</v>
      </c>
    </row>
    <row r="33" spans="1:8" x14ac:dyDescent="0.25">
      <c r="D33" s="3" t="s">
        <v>189</v>
      </c>
      <c r="E33">
        <v>6</v>
      </c>
    </row>
    <row r="34" spans="1:8" x14ac:dyDescent="0.25">
      <c r="D34" s="3" t="s">
        <v>73</v>
      </c>
      <c r="E34">
        <v>4</v>
      </c>
    </row>
    <row r="35" spans="1:8" x14ac:dyDescent="0.25">
      <c r="D35" s="3" t="s">
        <v>41</v>
      </c>
      <c r="E35">
        <v>58</v>
      </c>
    </row>
    <row r="36" spans="1:8" x14ac:dyDescent="0.25">
      <c r="D36" s="3" t="s">
        <v>45</v>
      </c>
      <c r="E36">
        <v>9</v>
      </c>
    </row>
    <row r="37" spans="1:8" x14ac:dyDescent="0.25">
      <c r="D37" s="3" t="s">
        <v>96</v>
      </c>
      <c r="E37">
        <v>20</v>
      </c>
    </row>
    <row r="38" spans="1:8" x14ac:dyDescent="0.25">
      <c r="D38" s="3" t="s">
        <v>142</v>
      </c>
      <c r="E38">
        <v>3</v>
      </c>
    </row>
    <row r="39" spans="1:8" x14ac:dyDescent="0.25">
      <c r="D39" s="3" t="s">
        <v>128</v>
      </c>
      <c r="E39">
        <v>11</v>
      </c>
    </row>
    <row r="40" spans="1:8" x14ac:dyDescent="0.25">
      <c r="D40" s="3" t="s">
        <v>109</v>
      </c>
      <c r="E40">
        <v>12</v>
      </c>
    </row>
    <row r="41" spans="1:8" x14ac:dyDescent="0.25">
      <c r="D41" s="3" t="s">
        <v>184</v>
      </c>
      <c r="E41">
        <v>8</v>
      </c>
    </row>
    <row r="42" spans="1:8" x14ac:dyDescent="0.25">
      <c r="D42" s="3" t="s">
        <v>124</v>
      </c>
      <c r="E42">
        <v>2</v>
      </c>
    </row>
    <row r="43" spans="1:8" x14ac:dyDescent="0.25">
      <c r="D43" s="3" t="s">
        <v>208</v>
      </c>
      <c r="E43">
        <v>500</v>
      </c>
    </row>
    <row r="47" spans="1:8" x14ac:dyDescent="0.25">
      <c r="A47" s="2" t="s">
        <v>212</v>
      </c>
      <c r="B47" t="s">
        <v>211</v>
      </c>
      <c r="D47" s="2" t="s">
        <v>5</v>
      </c>
      <c r="E47" t="s">
        <v>209</v>
      </c>
      <c r="G47" s="2" t="s">
        <v>1</v>
      </c>
      <c r="H47" t="s">
        <v>211</v>
      </c>
    </row>
    <row r="48" spans="1:8" x14ac:dyDescent="0.25">
      <c r="A48" s="3" t="s">
        <v>157</v>
      </c>
      <c r="B48">
        <v>84.038461538461533</v>
      </c>
      <c r="D48" s="3" t="s">
        <v>86</v>
      </c>
      <c r="E48">
        <v>2</v>
      </c>
      <c r="G48" s="3" t="s">
        <v>124</v>
      </c>
      <c r="H48">
        <v>77.5</v>
      </c>
    </row>
    <row r="49" spans="1:8" x14ac:dyDescent="0.25">
      <c r="A49" s="4" t="s">
        <v>159</v>
      </c>
      <c r="B49">
        <v>83.333333333333329</v>
      </c>
      <c r="D49" s="3" t="s">
        <v>201</v>
      </c>
      <c r="E49">
        <v>3</v>
      </c>
      <c r="G49" s="3" t="s">
        <v>184</v>
      </c>
      <c r="H49">
        <v>75.875</v>
      </c>
    </row>
    <row r="50" spans="1:8" x14ac:dyDescent="0.25">
      <c r="A50" s="4" t="s">
        <v>154</v>
      </c>
      <c r="B50">
        <v>84.25</v>
      </c>
      <c r="D50" s="3" t="s">
        <v>28</v>
      </c>
      <c r="E50">
        <v>131</v>
      </c>
      <c r="G50" s="3" t="s">
        <v>109</v>
      </c>
      <c r="H50">
        <v>85.916666666666671</v>
      </c>
    </row>
    <row r="51" spans="1:8" x14ac:dyDescent="0.25">
      <c r="A51" s="3" t="s">
        <v>18</v>
      </c>
      <c r="B51">
        <v>81.259740259740255</v>
      </c>
      <c r="D51" s="3" t="s">
        <v>69</v>
      </c>
      <c r="E51">
        <v>4</v>
      </c>
      <c r="G51" s="3" t="s">
        <v>128</v>
      </c>
      <c r="H51">
        <v>82.63636363636364</v>
      </c>
    </row>
    <row r="52" spans="1:8" x14ac:dyDescent="0.25">
      <c r="A52" s="4" t="s">
        <v>61</v>
      </c>
      <c r="B52">
        <v>91</v>
      </c>
      <c r="D52" s="3" t="s">
        <v>19</v>
      </c>
      <c r="E52">
        <v>33</v>
      </c>
      <c r="G52" s="3" t="s">
        <v>142</v>
      </c>
      <c r="H52">
        <v>85.333333333333329</v>
      </c>
    </row>
    <row r="53" spans="1:8" x14ac:dyDescent="0.25">
      <c r="A53" s="4" t="s">
        <v>74</v>
      </c>
      <c r="B53">
        <v>93.5</v>
      </c>
      <c r="D53" s="3" t="s">
        <v>23</v>
      </c>
      <c r="E53">
        <v>117</v>
      </c>
      <c r="G53" s="3" t="s">
        <v>96</v>
      </c>
      <c r="H53">
        <v>84.6</v>
      </c>
    </row>
    <row r="54" spans="1:8" x14ac:dyDescent="0.25">
      <c r="A54" s="4" t="s">
        <v>77</v>
      </c>
      <c r="B54">
        <v>77.666666666666671</v>
      </c>
      <c r="D54" s="3" t="s">
        <v>25</v>
      </c>
      <c r="E54">
        <v>38</v>
      </c>
      <c r="G54" s="3" t="s">
        <v>45</v>
      </c>
      <c r="H54">
        <v>72.111111111111114</v>
      </c>
    </row>
    <row r="55" spans="1:8" x14ac:dyDescent="0.25">
      <c r="A55" s="4" t="s">
        <v>72</v>
      </c>
      <c r="B55">
        <v>79.25</v>
      </c>
      <c r="D55" s="3" t="s">
        <v>37</v>
      </c>
      <c r="E55">
        <v>28</v>
      </c>
      <c r="G55" s="3" t="s">
        <v>41</v>
      </c>
      <c r="H55">
        <v>79.275862068965523</v>
      </c>
    </row>
    <row r="56" spans="1:8" x14ac:dyDescent="0.25">
      <c r="A56" s="4" t="s">
        <v>29</v>
      </c>
      <c r="B56">
        <v>80.599999999999994</v>
      </c>
      <c r="D56" s="3" t="s">
        <v>66</v>
      </c>
      <c r="E56">
        <v>6</v>
      </c>
      <c r="G56" s="3" t="s">
        <v>73</v>
      </c>
      <c r="H56">
        <v>79.25</v>
      </c>
    </row>
    <row r="57" spans="1:8" x14ac:dyDescent="0.25">
      <c r="A57" s="4" t="s">
        <v>15</v>
      </c>
      <c r="B57">
        <v>76.727272727272734</v>
      </c>
      <c r="D57" s="3" t="s">
        <v>70</v>
      </c>
      <c r="E57">
        <v>4</v>
      </c>
      <c r="G57" s="3" t="s">
        <v>189</v>
      </c>
      <c r="H57">
        <v>74.5</v>
      </c>
    </row>
    <row r="58" spans="1:8" x14ac:dyDescent="0.25">
      <c r="A58" s="4" t="s">
        <v>68</v>
      </c>
      <c r="B58">
        <v>72.7</v>
      </c>
      <c r="D58" s="3" t="s">
        <v>26</v>
      </c>
      <c r="E58">
        <v>22</v>
      </c>
      <c r="G58" s="3" t="s">
        <v>176</v>
      </c>
      <c r="H58">
        <v>82.916666666666671</v>
      </c>
    </row>
    <row r="59" spans="1:8" x14ac:dyDescent="0.25">
      <c r="A59" s="4" t="s">
        <v>71</v>
      </c>
      <c r="B59">
        <v>77.833333333333329</v>
      </c>
      <c r="D59" s="3" t="s">
        <v>27</v>
      </c>
      <c r="E59">
        <v>96</v>
      </c>
      <c r="G59" s="3" t="s">
        <v>118</v>
      </c>
      <c r="H59">
        <v>74.588235294117652</v>
      </c>
    </row>
    <row r="60" spans="1:8" x14ac:dyDescent="0.25">
      <c r="A60" s="4" t="s">
        <v>103</v>
      </c>
      <c r="B60">
        <v>84.4</v>
      </c>
      <c r="D60" s="3" t="s">
        <v>39</v>
      </c>
      <c r="E60">
        <v>16</v>
      </c>
      <c r="G60" s="3" t="s">
        <v>31</v>
      </c>
      <c r="H60">
        <v>77</v>
      </c>
    </row>
    <row r="61" spans="1:8" x14ac:dyDescent="0.25">
      <c r="A61" s="4" t="s">
        <v>107</v>
      </c>
      <c r="B61">
        <v>75.333333333333329</v>
      </c>
      <c r="D61" s="3" t="s">
        <v>208</v>
      </c>
      <c r="E61">
        <v>500</v>
      </c>
      <c r="G61" s="3" t="s">
        <v>205</v>
      </c>
      <c r="H61">
        <v>88.4</v>
      </c>
    </row>
    <row r="62" spans="1:8" x14ac:dyDescent="0.25">
      <c r="A62" s="4" t="s">
        <v>111</v>
      </c>
      <c r="B62">
        <v>77.666666666666671</v>
      </c>
      <c r="G62" s="3" t="s">
        <v>16</v>
      </c>
      <c r="H62">
        <v>76.86486486486487</v>
      </c>
    </row>
    <row r="63" spans="1:8" x14ac:dyDescent="0.25">
      <c r="A63" s="4" t="s">
        <v>114</v>
      </c>
      <c r="B63">
        <v>85.7</v>
      </c>
      <c r="G63" s="3" t="s">
        <v>198</v>
      </c>
      <c r="H63">
        <v>76.5</v>
      </c>
    </row>
    <row r="64" spans="1:8" x14ac:dyDescent="0.25">
      <c r="A64" s="4" t="s">
        <v>204</v>
      </c>
      <c r="B64">
        <v>88.4</v>
      </c>
      <c r="G64" s="3" t="s">
        <v>196</v>
      </c>
      <c r="H64">
        <v>84.666666666666671</v>
      </c>
    </row>
    <row r="65" spans="1:8" x14ac:dyDescent="0.25">
      <c r="A65" s="4" t="s">
        <v>30</v>
      </c>
      <c r="B65">
        <v>77</v>
      </c>
      <c r="G65" s="3" t="s">
        <v>163</v>
      </c>
      <c r="H65">
        <v>81.083333333333329</v>
      </c>
    </row>
    <row r="66" spans="1:8" x14ac:dyDescent="0.25">
      <c r="A66" s="4" t="s">
        <v>108</v>
      </c>
      <c r="B66">
        <v>85.916666666666671</v>
      </c>
      <c r="G66" s="3" t="s">
        <v>59</v>
      </c>
      <c r="H66">
        <v>85.307692307692307</v>
      </c>
    </row>
    <row r="67" spans="1:8" x14ac:dyDescent="0.25">
      <c r="A67" s="4" t="s">
        <v>160</v>
      </c>
      <c r="B67">
        <v>75.5</v>
      </c>
      <c r="G67" s="3" t="s">
        <v>62</v>
      </c>
      <c r="H67">
        <v>88</v>
      </c>
    </row>
    <row r="68" spans="1:8" x14ac:dyDescent="0.25">
      <c r="A68" s="4" t="s">
        <v>123</v>
      </c>
      <c r="B68">
        <v>77.5</v>
      </c>
      <c r="G68" s="3" t="s">
        <v>81</v>
      </c>
      <c r="H68">
        <v>84.86363636363636</v>
      </c>
    </row>
    <row r="69" spans="1:8" x14ac:dyDescent="0.25">
      <c r="A69" s="4" t="s">
        <v>67</v>
      </c>
      <c r="B69">
        <v>87</v>
      </c>
      <c r="G69" s="3" t="s">
        <v>179</v>
      </c>
      <c r="H69">
        <v>78.2</v>
      </c>
    </row>
    <row r="70" spans="1:8" x14ac:dyDescent="0.25">
      <c r="A70" s="4" t="s">
        <v>181</v>
      </c>
      <c r="B70">
        <v>90.333333333333329</v>
      </c>
      <c r="G70" s="3" t="s">
        <v>78</v>
      </c>
      <c r="H70">
        <v>81.318181818181813</v>
      </c>
    </row>
    <row r="71" spans="1:8" x14ac:dyDescent="0.25">
      <c r="A71" s="4" t="s">
        <v>182</v>
      </c>
      <c r="B71">
        <v>75.5</v>
      </c>
      <c r="G71" s="3" t="s">
        <v>174</v>
      </c>
      <c r="H71">
        <v>84.166666666666671</v>
      </c>
    </row>
    <row r="72" spans="1:8" x14ac:dyDescent="0.25">
      <c r="A72" s="4" t="s">
        <v>93</v>
      </c>
      <c r="B72">
        <v>83.666666666666671</v>
      </c>
      <c r="G72" s="3" t="s">
        <v>88</v>
      </c>
      <c r="H72">
        <v>78.2</v>
      </c>
    </row>
    <row r="73" spans="1:8" x14ac:dyDescent="0.25">
      <c r="A73" s="4" t="s">
        <v>95</v>
      </c>
      <c r="B73">
        <v>87.07692307692308</v>
      </c>
      <c r="G73" s="3" t="s">
        <v>112</v>
      </c>
      <c r="H73">
        <v>77.666666666666671</v>
      </c>
    </row>
    <row r="74" spans="1:8" x14ac:dyDescent="0.25">
      <c r="A74" s="4" t="s">
        <v>117</v>
      </c>
      <c r="B74">
        <v>74</v>
      </c>
      <c r="G74" s="3" t="s">
        <v>48</v>
      </c>
      <c r="H74">
        <v>76.333333333333329</v>
      </c>
    </row>
    <row r="75" spans="1:8" x14ac:dyDescent="0.25">
      <c r="A75" s="3" t="s">
        <v>35</v>
      </c>
      <c r="B75">
        <v>78.107382550335572</v>
      </c>
      <c r="G75" s="3" t="s">
        <v>135</v>
      </c>
      <c r="H75">
        <v>81</v>
      </c>
    </row>
    <row r="76" spans="1:8" x14ac:dyDescent="0.25">
      <c r="A76" s="4" t="s">
        <v>44</v>
      </c>
      <c r="B76">
        <v>72.111111111111114</v>
      </c>
      <c r="G76" s="3" t="s">
        <v>151</v>
      </c>
      <c r="H76">
        <v>84.1</v>
      </c>
    </row>
    <row r="77" spans="1:8" x14ac:dyDescent="0.25">
      <c r="A77" s="4" t="s">
        <v>46</v>
      </c>
      <c r="B77">
        <v>71.07692307692308</v>
      </c>
      <c r="G77" s="3" t="s">
        <v>155</v>
      </c>
      <c r="H77">
        <v>82.9</v>
      </c>
    </row>
    <row r="78" spans="1:8" x14ac:dyDescent="0.25">
      <c r="A78" s="4" t="s">
        <v>40</v>
      </c>
      <c r="B78">
        <v>80</v>
      </c>
      <c r="G78" s="3" t="s">
        <v>193</v>
      </c>
      <c r="H78">
        <v>87.166666666666671</v>
      </c>
    </row>
    <row r="79" spans="1:8" x14ac:dyDescent="0.25">
      <c r="A79" s="4" t="s">
        <v>192</v>
      </c>
      <c r="B79">
        <v>87.166666666666671</v>
      </c>
      <c r="G79" s="3" t="s">
        <v>170</v>
      </c>
      <c r="H79">
        <v>82.333333333333329</v>
      </c>
    </row>
    <row r="80" spans="1:8" x14ac:dyDescent="0.25">
      <c r="A80" s="4" t="s">
        <v>38</v>
      </c>
      <c r="B80">
        <v>78.599999999999994</v>
      </c>
      <c r="G80" s="3" t="s">
        <v>33</v>
      </c>
      <c r="H80">
        <v>77.5</v>
      </c>
    </row>
    <row r="81" spans="1:8" x14ac:dyDescent="0.25">
      <c r="A81" s="4" t="s">
        <v>147</v>
      </c>
      <c r="B81">
        <v>88.571428571428569</v>
      </c>
      <c r="G81" s="3" t="s">
        <v>145</v>
      </c>
      <c r="H81">
        <v>78.090909090909093</v>
      </c>
    </row>
    <row r="82" spans="1:8" x14ac:dyDescent="0.25">
      <c r="A82" s="4" t="s">
        <v>148</v>
      </c>
      <c r="B82">
        <v>78.166666666666671</v>
      </c>
      <c r="G82" s="3" t="s">
        <v>54</v>
      </c>
      <c r="H82">
        <v>77.65625</v>
      </c>
    </row>
    <row r="83" spans="1:8" x14ac:dyDescent="0.25">
      <c r="A83" s="4" t="s">
        <v>202</v>
      </c>
      <c r="B83">
        <v>67.666666666666671</v>
      </c>
      <c r="G83" s="3" t="s">
        <v>75</v>
      </c>
      <c r="H83">
        <v>93.5</v>
      </c>
    </row>
    <row r="84" spans="1:8" x14ac:dyDescent="0.25">
      <c r="A84" s="4" t="s">
        <v>57</v>
      </c>
      <c r="B84">
        <v>72.900000000000006</v>
      </c>
      <c r="G84" s="3" t="s">
        <v>104</v>
      </c>
      <c r="H84">
        <v>81</v>
      </c>
    </row>
    <row r="85" spans="1:8" x14ac:dyDescent="0.25">
      <c r="A85" s="4" t="s">
        <v>58</v>
      </c>
      <c r="B85">
        <v>77.25</v>
      </c>
      <c r="G85" s="3" t="s">
        <v>138</v>
      </c>
      <c r="H85">
        <v>74.5</v>
      </c>
    </row>
    <row r="86" spans="1:8" x14ac:dyDescent="0.25">
      <c r="A86" s="4" t="s">
        <v>188</v>
      </c>
      <c r="B86">
        <v>74.5</v>
      </c>
      <c r="G86" s="3" t="s">
        <v>187</v>
      </c>
      <c r="H86">
        <v>80</v>
      </c>
    </row>
    <row r="87" spans="1:8" x14ac:dyDescent="0.25">
      <c r="A87" s="4" t="s">
        <v>52</v>
      </c>
      <c r="B87">
        <v>67.666666666666671</v>
      </c>
      <c r="G87" s="3" t="s">
        <v>208</v>
      </c>
      <c r="H87">
        <v>80.518000000000001</v>
      </c>
    </row>
    <row r="88" spans="1:8" x14ac:dyDescent="0.25">
      <c r="A88" s="4" t="s">
        <v>47</v>
      </c>
      <c r="B88">
        <v>85</v>
      </c>
    </row>
    <row r="89" spans="1:8" x14ac:dyDescent="0.25">
      <c r="A89" s="4" t="s">
        <v>183</v>
      </c>
      <c r="B89">
        <v>75.875</v>
      </c>
    </row>
    <row r="90" spans="1:8" x14ac:dyDescent="0.25">
      <c r="A90" s="4" t="s">
        <v>186</v>
      </c>
      <c r="B90">
        <v>80</v>
      </c>
    </row>
    <row r="91" spans="1:8" x14ac:dyDescent="0.25">
      <c r="A91" s="4" t="s">
        <v>144</v>
      </c>
      <c r="B91">
        <v>69.888888888888886</v>
      </c>
    </row>
    <row r="92" spans="1:8" x14ac:dyDescent="0.25">
      <c r="A92" s="4" t="s">
        <v>200</v>
      </c>
      <c r="B92">
        <v>98</v>
      </c>
    </row>
    <row r="93" spans="1:8" x14ac:dyDescent="0.25">
      <c r="A93" s="4" t="s">
        <v>133</v>
      </c>
      <c r="B93">
        <v>82</v>
      </c>
    </row>
    <row r="94" spans="1:8" x14ac:dyDescent="0.25">
      <c r="A94" s="4" t="s">
        <v>53</v>
      </c>
      <c r="B94">
        <v>76.111111111111114</v>
      </c>
    </row>
    <row r="95" spans="1:8" x14ac:dyDescent="0.25">
      <c r="A95" s="4" t="s">
        <v>90</v>
      </c>
      <c r="B95">
        <v>88.888888888888886</v>
      </c>
    </row>
    <row r="96" spans="1:8" x14ac:dyDescent="0.25">
      <c r="A96" s="4" t="s">
        <v>32</v>
      </c>
      <c r="B96">
        <v>76.125</v>
      </c>
    </row>
    <row r="97" spans="1:2" x14ac:dyDescent="0.25">
      <c r="A97" s="3" t="s">
        <v>199</v>
      </c>
      <c r="B97">
        <v>76.5</v>
      </c>
    </row>
    <row r="98" spans="1:2" x14ac:dyDescent="0.25">
      <c r="A98" s="4" t="s">
        <v>197</v>
      </c>
      <c r="B98">
        <v>76.5</v>
      </c>
    </row>
    <row r="99" spans="1:2" x14ac:dyDescent="0.25">
      <c r="A99" s="3" t="s">
        <v>89</v>
      </c>
      <c r="B99">
        <v>79.96875</v>
      </c>
    </row>
    <row r="100" spans="1:2" x14ac:dyDescent="0.25">
      <c r="A100" s="4" t="s">
        <v>87</v>
      </c>
      <c r="B100">
        <v>78.2</v>
      </c>
    </row>
    <row r="101" spans="1:2" x14ac:dyDescent="0.25">
      <c r="A101" s="4" t="s">
        <v>178</v>
      </c>
      <c r="B101">
        <v>78.2</v>
      </c>
    </row>
    <row r="102" spans="1:2" x14ac:dyDescent="0.25">
      <c r="A102" s="4" t="s">
        <v>175</v>
      </c>
      <c r="B102">
        <v>82.916666666666671</v>
      </c>
    </row>
    <row r="103" spans="1:2" x14ac:dyDescent="0.25">
      <c r="A103" s="3" t="s">
        <v>98</v>
      </c>
      <c r="B103">
        <v>81.465116279069761</v>
      </c>
    </row>
    <row r="104" spans="1:2" x14ac:dyDescent="0.25">
      <c r="A104" s="4" t="s">
        <v>97</v>
      </c>
      <c r="B104">
        <v>85.333333333333329</v>
      </c>
    </row>
    <row r="105" spans="1:2" x14ac:dyDescent="0.25">
      <c r="A105" s="4" t="s">
        <v>100</v>
      </c>
      <c r="B105">
        <v>82.181818181818187</v>
      </c>
    </row>
    <row r="106" spans="1:2" x14ac:dyDescent="0.25">
      <c r="A106" s="4" t="s">
        <v>101</v>
      </c>
      <c r="B106">
        <v>73.400000000000006</v>
      </c>
    </row>
    <row r="107" spans="1:2" x14ac:dyDescent="0.25">
      <c r="A107" s="4" t="s">
        <v>102</v>
      </c>
      <c r="B107">
        <v>80</v>
      </c>
    </row>
    <row r="108" spans="1:2" x14ac:dyDescent="0.25">
      <c r="A108" s="3" t="s">
        <v>165</v>
      </c>
      <c r="B108">
        <v>82.18518518518519</v>
      </c>
    </row>
    <row r="109" spans="1:2" x14ac:dyDescent="0.25">
      <c r="A109" s="4" t="s">
        <v>169</v>
      </c>
      <c r="B109">
        <v>82.333333333333329</v>
      </c>
    </row>
    <row r="110" spans="1:2" x14ac:dyDescent="0.25">
      <c r="A110" s="4" t="s">
        <v>162</v>
      </c>
      <c r="B110">
        <v>79.400000000000006</v>
      </c>
    </row>
    <row r="111" spans="1:2" x14ac:dyDescent="0.25">
      <c r="A111" s="4" t="s">
        <v>168</v>
      </c>
      <c r="B111">
        <v>82.285714285714292</v>
      </c>
    </row>
    <row r="112" spans="1:2" x14ac:dyDescent="0.25">
      <c r="A112" s="4" t="s">
        <v>173</v>
      </c>
      <c r="B112">
        <v>84.166666666666671</v>
      </c>
    </row>
    <row r="113" spans="1:2" x14ac:dyDescent="0.25">
      <c r="A113" s="3" t="s">
        <v>122</v>
      </c>
      <c r="B113">
        <v>75.666666666666671</v>
      </c>
    </row>
    <row r="114" spans="1:2" x14ac:dyDescent="0.25">
      <c r="A114" s="4" t="s">
        <v>121</v>
      </c>
      <c r="B114">
        <v>75.666666666666671</v>
      </c>
    </row>
    <row r="115" spans="1:2" x14ac:dyDescent="0.25">
      <c r="A115" s="3" t="s">
        <v>83</v>
      </c>
      <c r="B115">
        <v>84.86363636363636</v>
      </c>
    </row>
    <row r="116" spans="1:2" x14ac:dyDescent="0.25">
      <c r="A116" s="4" t="s">
        <v>80</v>
      </c>
      <c r="B116">
        <v>84.86363636363636</v>
      </c>
    </row>
    <row r="117" spans="1:2" x14ac:dyDescent="0.25">
      <c r="A117" s="3" t="s">
        <v>139</v>
      </c>
      <c r="B117">
        <v>74.5</v>
      </c>
    </row>
    <row r="118" spans="1:2" x14ac:dyDescent="0.25">
      <c r="A118" s="4" t="s">
        <v>137</v>
      </c>
      <c r="B118">
        <v>74.5</v>
      </c>
    </row>
    <row r="119" spans="1:2" x14ac:dyDescent="0.25">
      <c r="A119" s="3" t="s">
        <v>152</v>
      </c>
      <c r="B119">
        <v>84.1</v>
      </c>
    </row>
    <row r="120" spans="1:2" x14ac:dyDescent="0.25">
      <c r="A120" s="4" t="s">
        <v>150</v>
      </c>
      <c r="B120">
        <v>84.1</v>
      </c>
    </row>
    <row r="121" spans="1:2" x14ac:dyDescent="0.25">
      <c r="A121" s="3" t="s">
        <v>130</v>
      </c>
      <c r="B121">
        <v>83.21052631578948</v>
      </c>
    </row>
    <row r="122" spans="1:2" x14ac:dyDescent="0.25">
      <c r="A122" s="4" t="s">
        <v>195</v>
      </c>
      <c r="B122">
        <v>84.666666666666671</v>
      </c>
    </row>
    <row r="123" spans="1:2" x14ac:dyDescent="0.25">
      <c r="A123" s="4" t="s">
        <v>134</v>
      </c>
      <c r="B123">
        <v>81</v>
      </c>
    </row>
    <row r="124" spans="1:2" x14ac:dyDescent="0.25">
      <c r="A124" s="4" t="s">
        <v>141</v>
      </c>
      <c r="B124">
        <v>85.333333333333329</v>
      </c>
    </row>
    <row r="125" spans="1:2" x14ac:dyDescent="0.25">
      <c r="A125" s="4" t="s">
        <v>127</v>
      </c>
      <c r="B125">
        <v>83.714285714285708</v>
      </c>
    </row>
    <row r="126" spans="1:2" x14ac:dyDescent="0.25">
      <c r="A126" s="4" t="s">
        <v>132</v>
      </c>
      <c r="B126">
        <v>80.75</v>
      </c>
    </row>
    <row r="127" spans="1:2" x14ac:dyDescent="0.25">
      <c r="A127" s="3" t="s">
        <v>208</v>
      </c>
      <c r="B127">
        <v>80.518000000000001</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27EB3-C673-4708-A974-6B47442BC954}">
  <dimension ref="A1:AE4"/>
  <sheetViews>
    <sheetView showGridLines="0" tabSelected="1" topLeftCell="C1" zoomScale="57" zoomScaleNormal="57" workbookViewId="0">
      <selection activeCell="AB22" sqref="AB22"/>
    </sheetView>
  </sheetViews>
  <sheetFormatPr defaultRowHeight="15" x14ac:dyDescent="0.25"/>
  <sheetData>
    <row r="1" spans="1:31" x14ac:dyDescent="0.25">
      <c r="A1" s="7" t="s">
        <v>214</v>
      </c>
      <c r="B1" s="7"/>
      <c r="C1" s="7"/>
      <c r="D1" s="7"/>
      <c r="E1" s="7"/>
      <c r="F1" s="7"/>
      <c r="G1" s="7"/>
      <c r="H1" s="7"/>
      <c r="I1" s="7"/>
      <c r="J1" s="7"/>
      <c r="K1" s="7"/>
      <c r="L1" s="7"/>
      <c r="M1" s="7"/>
      <c r="N1" s="7"/>
      <c r="O1" s="7"/>
      <c r="P1" s="7"/>
      <c r="Q1" s="7"/>
      <c r="R1" s="7"/>
      <c r="S1" s="7"/>
      <c r="T1" s="7"/>
      <c r="U1" s="7"/>
      <c r="V1" s="7"/>
      <c r="W1" s="7"/>
      <c r="X1" s="7"/>
      <c r="Y1" s="7"/>
      <c r="Z1" s="7"/>
      <c r="AA1" s="7"/>
      <c r="AB1" s="7"/>
      <c r="AC1" s="7"/>
      <c r="AD1" s="7"/>
      <c r="AE1" s="7"/>
    </row>
    <row r="2" spans="1:31" x14ac:dyDescent="0.2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row>
    <row r="3" spans="1:31" x14ac:dyDescent="0.25">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row>
    <row r="4" spans="1:31"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row>
  </sheetData>
  <mergeCells count="1">
    <mergeCell ref="A1:AE4"/>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93"/>
  <sheetViews>
    <sheetView workbookViewId="0"/>
  </sheetViews>
  <sheetFormatPr defaultRowHeight="15" x14ac:dyDescent="0.25"/>
  <sheetData>
    <row r="1" spans="1:4" x14ac:dyDescent="0.25">
      <c r="A1" s="1" t="s">
        <v>5</v>
      </c>
      <c r="B1" s="1" t="s">
        <v>9</v>
      </c>
      <c r="C1" s="1" t="s">
        <v>13</v>
      </c>
      <c r="D1" s="1" t="s">
        <v>206</v>
      </c>
    </row>
    <row r="2" spans="1:4" x14ac:dyDescent="0.25">
      <c r="A2" t="s">
        <v>86</v>
      </c>
      <c r="B2">
        <v>235.37</v>
      </c>
      <c r="C2">
        <v>1704.23</v>
      </c>
      <c r="D2">
        <v>1</v>
      </c>
    </row>
    <row r="3" spans="1:4" x14ac:dyDescent="0.25">
      <c r="A3" t="s">
        <v>201</v>
      </c>
      <c r="B3">
        <v>16.760000000000002</v>
      </c>
      <c r="C3">
        <v>294.72000000000003</v>
      </c>
      <c r="D3">
        <v>1</v>
      </c>
    </row>
    <row r="4" spans="1:4" x14ac:dyDescent="0.25">
      <c r="A4" t="s">
        <v>28</v>
      </c>
      <c r="B4">
        <v>3291.37</v>
      </c>
      <c r="C4">
        <v>14586.67</v>
      </c>
      <c r="D4">
        <v>60</v>
      </c>
    </row>
    <row r="5" spans="1:4" x14ac:dyDescent="0.25">
      <c r="A5" t="s">
        <v>69</v>
      </c>
      <c r="B5">
        <v>96.259999999999991</v>
      </c>
      <c r="C5">
        <v>701.26</v>
      </c>
      <c r="D5">
        <v>2</v>
      </c>
    </row>
    <row r="6" spans="1:4" x14ac:dyDescent="0.25">
      <c r="A6" t="s">
        <v>19</v>
      </c>
      <c r="B6">
        <v>386.67</v>
      </c>
      <c r="C6">
        <v>3240.38</v>
      </c>
      <c r="D6">
        <v>13</v>
      </c>
    </row>
    <row r="7" spans="1:4" x14ac:dyDescent="0.25">
      <c r="A7" t="s">
        <v>23</v>
      </c>
      <c r="B7">
        <v>3400.67</v>
      </c>
      <c r="C7">
        <v>31099.66</v>
      </c>
      <c r="D7">
        <v>45</v>
      </c>
    </row>
    <row r="8" spans="1:4" x14ac:dyDescent="0.25">
      <c r="A8" t="s">
        <v>25</v>
      </c>
      <c r="B8">
        <v>1041.1300000000001</v>
      </c>
      <c r="C8">
        <v>7337.01</v>
      </c>
      <c r="D8">
        <v>19</v>
      </c>
    </row>
    <row r="9" spans="1:4" x14ac:dyDescent="0.25">
      <c r="A9" t="s">
        <v>37</v>
      </c>
      <c r="B9">
        <v>538.35</v>
      </c>
      <c r="C9">
        <v>4999.6499999999996</v>
      </c>
      <c r="D9">
        <v>14</v>
      </c>
    </row>
    <row r="10" spans="1:4" x14ac:dyDescent="0.25">
      <c r="A10" t="s">
        <v>66</v>
      </c>
      <c r="B10">
        <v>47.26</v>
      </c>
      <c r="C10">
        <v>522.54</v>
      </c>
      <c r="D10">
        <v>2</v>
      </c>
    </row>
    <row r="11" spans="1:4" x14ac:dyDescent="0.25">
      <c r="A11" t="s">
        <v>70</v>
      </c>
      <c r="B11">
        <v>37</v>
      </c>
      <c r="C11">
        <v>375.11</v>
      </c>
      <c r="D11">
        <v>2</v>
      </c>
    </row>
    <row r="12" spans="1:4" x14ac:dyDescent="0.25">
      <c r="A12" t="s">
        <v>26</v>
      </c>
      <c r="B12">
        <v>451.03</v>
      </c>
      <c r="C12">
        <v>4648.1899999999996</v>
      </c>
      <c r="D12">
        <v>12</v>
      </c>
    </row>
    <row r="13" spans="1:4" x14ac:dyDescent="0.25">
      <c r="A13" t="s">
        <v>27</v>
      </c>
      <c r="B13">
        <v>1376.49</v>
      </c>
      <c r="C13">
        <v>9418.7100000000009</v>
      </c>
      <c r="D13">
        <v>41</v>
      </c>
    </row>
    <row r="14" spans="1:4" x14ac:dyDescent="0.25">
      <c r="A14" t="s">
        <v>39</v>
      </c>
      <c r="B14">
        <v>126.86</v>
      </c>
      <c r="C14">
        <v>1075.73</v>
      </c>
      <c r="D14">
        <v>11</v>
      </c>
    </row>
    <row r="17" spans="1:5" x14ac:dyDescent="0.25">
      <c r="A17" s="1" t="s">
        <v>1</v>
      </c>
      <c r="B17" s="1" t="s">
        <v>9</v>
      </c>
      <c r="C17" s="1" t="s">
        <v>13</v>
      </c>
      <c r="D17" s="1" t="s">
        <v>206</v>
      </c>
      <c r="E17" s="1" t="s">
        <v>207</v>
      </c>
    </row>
    <row r="18" spans="1:5" x14ac:dyDescent="0.25">
      <c r="A18" t="s">
        <v>187</v>
      </c>
      <c r="B18">
        <v>26.4</v>
      </c>
      <c r="C18">
        <v>223.08</v>
      </c>
      <c r="D18">
        <v>1</v>
      </c>
      <c r="E18">
        <v>80</v>
      </c>
    </row>
    <row r="19" spans="1:5" x14ac:dyDescent="0.25">
      <c r="A19" t="s">
        <v>138</v>
      </c>
      <c r="B19">
        <v>54.35</v>
      </c>
      <c r="C19">
        <v>435.45</v>
      </c>
      <c r="D19">
        <v>1</v>
      </c>
      <c r="E19">
        <v>74.5</v>
      </c>
    </row>
    <row r="20" spans="1:5" x14ac:dyDescent="0.25">
      <c r="A20" t="s">
        <v>104</v>
      </c>
      <c r="B20">
        <v>46.39</v>
      </c>
      <c r="C20">
        <v>398.62</v>
      </c>
      <c r="D20">
        <v>2</v>
      </c>
      <c r="E20">
        <v>81</v>
      </c>
    </row>
    <row r="21" spans="1:5" x14ac:dyDescent="0.25">
      <c r="A21" t="s">
        <v>75</v>
      </c>
      <c r="B21">
        <v>52.21</v>
      </c>
      <c r="C21">
        <v>370.89</v>
      </c>
      <c r="D21">
        <v>1</v>
      </c>
      <c r="E21">
        <v>93.5</v>
      </c>
    </row>
    <row r="22" spans="1:5" x14ac:dyDescent="0.25">
      <c r="A22" t="s">
        <v>54</v>
      </c>
      <c r="B22">
        <v>225.31</v>
      </c>
      <c r="C22">
        <v>1946.81</v>
      </c>
      <c r="D22">
        <v>5</v>
      </c>
      <c r="E22">
        <v>77.65625</v>
      </c>
    </row>
    <row r="23" spans="1:5" x14ac:dyDescent="0.25">
      <c r="A23" t="s">
        <v>33</v>
      </c>
      <c r="B23">
        <v>874.08</v>
      </c>
      <c r="C23">
        <v>7296.0599999999986</v>
      </c>
      <c r="D23">
        <v>2</v>
      </c>
      <c r="E23">
        <v>77.5</v>
      </c>
    </row>
    <row r="24" spans="1:5" x14ac:dyDescent="0.25">
      <c r="A24" t="s">
        <v>145</v>
      </c>
      <c r="B24">
        <v>154.9</v>
      </c>
      <c r="C24">
        <v>1548.19</v>
      </c>
      <c r="D24">
        <v>3</v>
      </c>
      <c r="E24">
        <v>78.090909090909093</v>
      </c>
    </row>
    <row r="25" spans="1:5" x14ac:dyDescent="0.25">
      <c r="A25" t="s">
        <v>170</v>
      </c>
      <c r="B25">
        <v>51.75</v>
      </c>
      <c r="C25">
        <v>609.54999999999995</v>
      </c>
      <c r="D25">
        <v>1</v>
      </c>
      <c r="E25">
        <v>82.333333333333329</v>
      </c>
    </row>
    <row r="26" spans="1:5" x14ac:dyDescent="0.25">
      <c r="A26" t="s">
        <v>193</v>
      </c>
      <c r="B26">
        <v>52.82</v>
      </c>
      <c r="C26">
        <v>728.46</v>
      </c>
      <c r="D26">
        <v>1</v>
      </c>
      <c r="E26">
        <v>87.166666666666671</v>
      </c>
    </row>
    <row r="27" spans="1:5" x14ac:dyDescent="0.25">
      <c r="A27" t="s">
        <v>155</v>
      </c>
      <c r="B27">
        <v>3030.05</v>
      </c>
      <c r="C27">
        <v>15911.92</v>
      </c>
      <c r="D27">
        <v>3</v>
      </c>
      <c r="E27">
        <v>82.9</v>
      </c>
    </row>
    <row r="28" spans="1:5" x14ac:dyDescent="0.25">
      <c r="A28" t="s">
        <v>151</v>
      </c>
      <c r="B28">
        <v>61.72</v>
      </c>
      <c r="C28">
        <v>635.25</v>
      </c>
      <c r="D28">
        <v>1</v>
      </c>
      <c r="E28">
        <v>84.1</v>
      </c>
    </row>
    <row r="29" spans="1:5" x14ac:dyDescent="0.25">
      <c r="A29" t="s">
        <v>135</v>
      </c>
      <c r="B29">
        <v>2.17</v>
      </c>
      <c r="C29">
        <v>58.36</v>
      </c>
      <c r="D29">
        <v>1</v>
      </c>
      <c r="E29">
        <v>81</v>
      </c>
    </row>
    <row r="30" spans="1:5" x14ac:dyDescent="0.25">
      <c r="A30" t="s">
        <v>48</v>
      </c>
      <c r="B30">
        <v>42.07</v>
      </c>
      <c r="C30">
        <v>312.89999999999998</v>
      </c>
      <c r="D30">
        <v>2</v>
      </c>
      <c r="E30">
        <v>76.333333333333329</v>
      </c>
    </row>
    <row r="31" spans="1:5" x14ac:dyDescent="0.25">
      <c r="A31" t="s">
        <v>112</v>
      </c>
      <c r="B31">
        <v>62.34</v>
      </c>
      <c r="C31">
        <v>579.19000000000005</v>
      </c>
      <c r="D31">
        <v>1</v>
      </c>
      <c r="E31">
        <v>77.666666666666671</v>
      </c>
    </row>
    <row r="32" spans="1:5" x14ac:dyDescent="0.25">
      <c r="A32" t="s">
        <v>88</v>
      </c>
      <c r="B32">
        <v>51.3</v>
      </c>
      <c r="C32">
        <v>528.49</v>
      </c>
      <c r="D32">
        <v>1</v>
      </c>
      <c r="E32">
        <v>78.2</v>
      </c>
    </row>
    <row r="33" spans="1:5" x14ac:dyDescent="0.25">
      <c r="A33" t="s">
        <v>174</v>
      </c>
      <c r="B33">
        <v>45</v>
      </c>
      <c r="C33">
        <v>443.92</v>
      </c>
      <c r="D33">
        <v>1</v>
      </c>
      <c r="E33">
        <v>84.166666666666671</v>
      </c>
    </row>
    <row r="34" spans="1:5" x14ac:dyDescent="0.25">
      <c r="A34" t="s">
        <v>78</v>
      </c>
      <c r="B34">
        <v>117.19</v>
      </c>
      <c r="C34">
        <v>1345.72</v>
      </c>
      <c r="D34">
        <v>2</v>
      </c>
      <c r="E34">
        <v>81.318181818181813</v>
      </c>
    </row>
    <row r="35" spans="1:5" x14ac:dyDescent="0.25">
      <c r="A35" t="s">
        <v>179</v>
      </c>
      <c r="B35">
        <v>67.56</v>
      </c>
      <c r="C35">
        <v>554.52</v>
      </c>
      <c r="D35">
        <v>1</v>
      </c>
      <c r="E35">
        <v>78.2</v>
      </c>
    </row>
    <row r="36" spans="1:5" x14ac:dyDescent="0.25">
      <c r="A36" t="s">
        <v>81</v>
      </c>
      <c r="B36">
        <v>2224.31</v>
      </c>
      <c r="C36">
        <v>18063.37</v>
      </c>
      <c r="D36">
        <v>1</v>
      </c>
      <c r="E36">
        <v>84.86363636363636</v>
      </c>
    </row>
    <row r="37" spans="1:5" x14ac:dyDescent="0.25">
      <c r="A37" t="s">
        <v>62</v>
      </c>
      <c r="B37">
        <v>88.02</v>
      </c>
      <c r="C37">
        <v>1012.22</v>
      </c>
      <c r="D37">
        <v>4</v>
      </c>
      <c r="E37">
        <v>88</v>
      </c>
    </row>
    <row r="38" spans="1:5" x14ac:dyDescent="0.25">
      <c r="A38" t="s">
        <v>59</v>
      </c>
      <c r="B38">
        <v>36.36</v>
      </c>
      <c r="C38">
        <v>627.66</v>
      </c>
      <c r="D38">
        <v>2</v>
      </c>
      <c r="E38">
        <v>85.307692307692307</v>
      </c>
    </row>
    <row r="39" spans="1:5" x14ac:dyDescent="0.25">
      <c r="A39" t="s">
        <v>163</v>
      </c>
      <c r="B39">
        <v>69.009999999999991</v>
      </c>
      <c r="C39">
        <v>875.63</v>
      </c>
      <c r="D39">
        <v>2</v>
      </c>
      <c r="E39">
        <v>81.083333333333329</v>
      </c>
    </row>
    <row r="40" spans="1:5" x14ac:dyDescent="0.25">
      <c r="A40" t="s">
        <v>196</v>
      </c>
      <c r="B40">
        <v>13.73</v>
      </c>
      <c r="C40">
        <v>201.72</v>
      </c>
      <c r="D40">
        <v>1</v>
      </c>
      <c r="E40">
        <v>84.666666666666671</v>
      </c>
    </row>
    <row r="41" spans="1:5" x14ac:dyDescent="0.25">
      <c r="A41" t="s">
        <v>198</v>
      </c>
      <c r="B41">
        <v>10.95</v>
      </c>
      <c r="C41">
        <v>92.94</v>
      </c>
      <c r="D41">
        <v>1</v>
      </c>
      <c r="E41">
        <v>76.5</v>
      </c>
    </row>
    <row r="42" spans="1:5" x14ac:dyDescent="0.25">
      <c r="A42" t="s">
        <v>16</v>
      </c>
      <c r="B42">
        <v>1339.14</v>
      </c>
      <c r="C42">
        <v>7824.88</v>
      </c>
      <c r="D42">
        <v>4</v>
      </c>
      <c r="E42">
        <v>76.86486486486487</v>
      </c>
    </row>
    <row r="43" spans="1:5" x14ac:dyDescent="0.25">
      <c r="A43" t="s">
        <v>205</v>
      </c>
      <c r="B43">
        <v>10.24</v>
      </c>
      <c r="C43">
        <v>450.6</v>
      </c>
      <c r="D43">
        <v>1</v>
      </c>
      <c r="E43">
        <v>88.4</v>
      </c>
    </row>
    <row r="44" spans="1:5" x14ac:dyDescent="0.25">
      <c r="A44" t="s">
        <v>31</v>
      </c>
      <c r="B44">
        <v>561.05999999999995</v>
      </c>
      <c r="C44">
        <v>3633.89</v>
      </c>
      <c r="D44">
        <v>1</v>
      </c>
      <c r="E44">
        <v>77</v>
      </c>
    </row>
    <row r="45" spans="1:5" x14ac:dyDescent="0.25">
      <c r="A45" t="s">
        <v>118</v>
      </c>
      <c r="B45">
        <v>115.21</v>
      </c>
      <c r="C45">
        <v>848.93000000000006</v>
      </c>
      <c r="D45">
        <v>2</v>
      </c>
      <c r="E45">
        <v>74.588235294117652</v>
      </c>
    </row>
    <row r="46" spans="1:5" x14ac:dyDescent="0.25">
      <c r="A46" t="s">
        <v>176</v>
      </c>
      <c r="B46">
        <v>46.31</v>
      </c>
      <c r="C46">
        <v>564.70000000000005</v>
      </c>
      <c r="D46">
        <v>1</v>
      </c>
      <c r="E46">
        <v>82.916666666666671</v>
      </c>
    </row>
    <row r="47" spans="1:5" x14ac:dyDescent="0.25">
      <c r="A47" t="s">
        <v>189</v>
      </c>
      <c r="B47">
        <v>16.37</v>
      </c>
      <c r="C47">
        <v>372.12</v>
      </c>
      <c r="D47">
        <v>1</v>
      </c>
      <c r="E47">
        <v>74.5</v>
      </c>
    </row>
    <row r="48" spans="1:5" x14ac:dyDescent="0.25">
      <c r="A48" t="s">
        <v>73</v>
      </c>
      <c r="B48">
        <v>19.62</v>
      </c>
      <c r="C48">
        <v>215.61</v>
      </c>
      <c r="D48">
        <v>1</v>
      </c>
      <c r="E48">
        <v>79.25</v>
      </c>
    </row>
    <row r="49" spans="1:5" x14ac:dyDescent="0.25">
      <c r="A49" t="s">
        <v>41</v>
      </c>
      <c r="B49">
        <v>949.17</v>
      </c>
      <c r="C49">
        <v>6486.37</v>
      </c>
      <c r="D49">
        <v>6</v>
      </c>
      <c r="E49">
        <v>79.275862068965523</v>
      </c>
    </row>
    <row r="50" spans="1:5" x14ac:dyDescent="0.25">
      <c r="A50" t="s">
        <v>45</v>
      </c>
      <c r="B50">
        <v>201.74</v>
      </c>
      <c r="C50">
        <v>1715.69</v>
      </c>
      <c r="D50">
        <v>1</v>
      </c>
      <c r="E50">
        <v>72.111111111111114</v>
      </c>
    </row>
    <row r="51" spans="1:5" x14ac:dyDescent="0.25">
      <c r="A51" t="s">
        <v>96</v>
      </c>
      <c r="B51">
        <v>165.29</v>
      </c>
      <c r="C51">
        <v>1453.49</v>
      </c>
      <c r="D51">
        <v>2</v>
      </c>
      <c r="E51">
        <v>84.6</v>
      </c>
    </row>
    <row r="52" spans="1:5" x14ac:dyDescent="0.25">
      <c r="A52" t="s">
        <v>142</v>
      </c>
      <c r="B52">
        <v>14.22</v>
      </c>
      <c r="C52">
        <v>90.37</v>
      </c>
      <c r="D52">
        <v>1</v>
      </c>
      <c r="E52">
        <v>85.333333333333329</v>
      </c>
    </row>
    <row r="53" spans="1:5" x14ac:dyDescent="0.25">
      <c r="A53" t="s">
        <v>128</v>
      </c>
      <c r="B53">
        <v>47.73</v>
      </c>
      <c r="C53">
        <v>734.37</v>
      </c>
      <c r="D53">
        <v>2</v>
      </c>
      <c r="E53">
        <v>82.63636363636364</v>
      </c>
    </row>
    <row r="54" spans="1:5" x14ac:dyDescent="0.25">
      <c r="A54" t="s">
        <v>109</v>
      </c>
      <c r="B54">
        <v>66.11</v>
      </c>
      <c r="C54">
        <v>489.9</v>
      </c>
      <c r="D54">
        <v>1</v>
      </c>
      <c r="E54">
        <v>85.916666666666671</v>
      </c>
    </row>
    <row r="55" spans="1:5" x14ac:dyDescent="0.25">
      <c r="A55" t="s">
        <v>184</v>
      </c>
      <c r="B55">
        <v>23.65</v>
      </c>
      <c r="C55">
        <v>258.52</v>
      </c>
      <c r="D55">
        <v>1</v>
      </c>
      <c r="E55">
        <v>75.875</v>
      </c>
    </row>
    <row r="56" spans="1:5" x14ac:dyDescent="0.25">
      <c r="A56" t="s">
        <v>124</v>
      </c>
      <c r="B56">
        <v>9.370000000000001</v>
      </c>
      <c r="C56">
        <v>63.5</v>
      </c>
      <c r="D56">
        <v>1</v>
      </c>
      <c r="E56">
        <v>77.5</v>
      </c>
    </row>
    <row r="59" spans="1:5" x14ac:dyDescent="0.25">
      <c r="A59" s="1" t="s">
        <v>4</v>
      </c>
      <c r="B59" s="1" t="s">
        <v>9</v>
      </c>
      <c r="C59" s="1" t="s">
        <v>13</v>
      </c>
      <c r="D59" s="1" t="s">
        <v>206</v>
      </c>
    </row>
    <row r="60" spans="1:5" x14ac:dyDescent="0.25">
      <c r="A60" t="s">
        <v>157</v>
      </c>
      <c r="B60">
        <v>3018.75</v>
      </c>
      <c r="C60">
        <v>15717.08</v>
      </c>
      <c r="D60">
        <v>2</v>
      </c>
    </row>
    <row r="61" spans="1:5" x14ac:dyDescent="0.25">
      <c r="A61" t="s">
        <v>18</v>
      </c>
      <c r="B61">
        <v>2555.39</v>
      </c>
      <c r="C61">
        <v>18259.490000000002</v>
      </c>
      <c r="D61">
        <v>23</v>
      </c>
    </row>
    <row r="62" spans="1:5" x14ac:dyDescent="0.25">
      <c r="A62" t="s">
        <v>35</v>
      </c>
      <c r="B62">
        <v>1873.24</v>
      </c>
      <c r="C62">
        <v>16421.21</v>
      </c>
      <c r="D62">
        <v>21</v>
      </c>
    </row>
    <row r="63" spans="1:5" x14ac:dyDescent="0.25">
      <c r="A63" t="s">
        <v>199</v>
      </c>
      <c r="B63">
        <v>10.95</v>
      </c>
      <c r="C63">
        <v>92.94</v>
      </c>
      <c r="D63">
        <v>1</v>
      </c>
    </row>
    <row r="64" spans="1:5" x14ac:dyDescent="0.25">
      <c r="A64" t="s">
        <v>89</v>
      </c>
      <c r="B64">
        <v>165.17</v>
      </c>
      <c r="C64">
        <v>1647.71</v>
      </c>
      <c r="D64">
        <v>3</v>
      </c>
    </row>
    <row r="65" spans="1:4" x14ac:dyDescent="0.25">
      <c r="A65" t="s">
        <v>98</v>
      </c>
      <c r="B65">
        <v>799.09</v>
      </c>
      <c r="C65">
        <v>5451.96</v>
      </c>
      <c r="D65">
        <v>4</v>
      </c>
    </row>
    <row r="66" spans="1:4" x14ac:dyDescent="0.25">
      <c r="A66" t="s">
        <v>122</v>
      </c>
      <c r="B66">
        <v>38.64</v>
      </c>
      <c r="C66">
        <v>265.48</v>
      </c>
      <c r="D66">
        <v>1</v>
      </c>
    </row>
    <row r="67" spans="1:4" x14ac:dyDescent="0.25">
      <c r="A67" t="s">
        <v>165</v>
      </c>
      <c r="B67">
        <v>165.76</v>
      </c>
      <c r="C67">
        <v>1929.1</v>
      </c>
      <c r="D67">
        <v>4</v>
      </c>
    </row>
    <row r="68" spans="1:4" x14ac:dyDescent="0.25">
      <c r="A68" t="s">
        <v>83</v>
      </c>
      <c r="B68">
        <v>2224.31</v>
      </c>
      <c r="C68">
        <v>18063.37</v>
      </c>
      <c r="D68">
        <v>1</v>
      </c>
    </row>
    <row r="69" spans="1:4" x14ac:dyDescent="0.25">
      <c r="A69" t="s">
        <v>139</v>
      </c>
      <c r="B69">
        <v>54.35</v>
      </c>
      <c r="C69">
        <v>435.45</v>
      </c>
      <c r="D69">
        <v>1</v>
      </c>
    </row>
    <row r="70" spans="1:4" x14ac:dyDescent="0.25">
      <c r="A70" t="s">
        <v>152</v>
      </c>
      <c r="B70">
        <v>61.72</v>
      </c>
      <c r="C70">
        <v>635.25</v>
      </c>
      <c r="D70">
        <v>1</v>
      </c>
    </row>
    <row r="71" spans="1:4" x14ac:dyDescent="0.25">
      <c r="A71" t="s">
        <v>130</v>
      </c>
      <c r="B71">
        <v>77.849999999999994</v>
      </c>
      <c r="C71">
        <v>1084.82</v>
      </c>
      <c r="D71">
        <v>5</v>
      </c>
    </row>
    <row r="74" spans="1:4" x14ac:dyDescent="0.25">
      <c r="A74" s="1" t="s">
        <v>3</v>
      </c>
      <c r="B74" s="1" t="s">
        <v>9</v>
      </c>
      <c r="C74" s="1" t="s">
        <v>13</v>
      </c>
      <c r="D74" s="1" t="s">
        <v>206</v>
      </c>
    </row>
    <row r="75" spans="1:4" x14ac:dyDescent="0.25">
      <c r="A75">
        <v>2002</v>
      </c>
      <c r="B75">
        <v>92.83</v>
      </c>
      <c r="C75">
        <v>890.56999999999994</v>
      </c>
      <c r="D75">
        <v>1</v>
      </c>
    </row>
    <row r="76" spans="1:4" x14ac:dyDescent="0.25">
      <c r="A76">
        <v>2004</v>
      </c>
      <c r="B76">
        <v>133.29</v>
      </c>
      <c r="C76">
        <v>646.78</v>
      </c>
      <c r="D76">
        <v>1</v>
      </c>
    </row>
    <row r="77" spans="1:4" x14ac:dyDescent="0.25">
      <c r="A77">
        <v>2007</v>
      </c>
      <c r="B77">
        <v>2.17</v>
      </c>
      <c r="C77">
        <v>58.36</v>
      </c>
      <c r="D77">
        <v>1</v>
      </c>
    </row>
    <row r="78" spans="1:4" x14ac:dyDescent="0.25">
      <c r="A78">
        <v>2008</v>
      </c>
      <c r="B78">
        <v>65.17</v>
      </c>
      <c r="C78">
        <v>531.06999999999994</v>
      </c>
      <c r="D78">
        <v>2</v>
      </c>
    </row>
    <row r="79" spans="1:4" x14ac:dyDescent="0.25">
      <c r="A79">
        <v>2010</v>
      </c>
      <c r="B79">
        <v>35.28</v>
      </c>
      <c r="C79">
        <v>740.58</v>
      </c>
      <c r="D79">
        <v>2</v>
      </c>
    </row>
    <row r="80" spans="1:4" x14ac:dyDescent="0.25">
      <c r="A80">
        <v>2011</v>
      </c>
      <c r="B80">
        <v>2372.3000000000002</v>
      </c>
      <c r="C80">
        <v>19448.55</v>
      </c>
      <c r="D80">
        <v>4</v>
      </c>
    </row>
    <row r="81" spans="1:4" x14ac:dyDescent="0.25">
      <c r="A81">
        <v>2012</v>
      </c>
      <c r="B81">
        <v>283.72000000000003</v>
      </c>
      <c r="C81">
        <v>2439.79</v>
      </c>
      <c r="D81">
        <v>3</v>
      </c>
    </row>
    <row r="82" spans="1:4" x14ac:dyDescent="0.25">
      <c r="A82">
        <v>2013</v>
      </c>
      <c r="B82">
        <v>1065.19</v>
      </c>
      <c r="C82">
        <v>5926.58</v>
      </c>
      <c r="D82">
        <v>1</v>
      </c>
    </row>
    <row r="83" spans="1:4" x14ac:dyDescent="0.25">
      <c r="A83">
        <v>2014</v>
      </c>
      <c r="B83">
        <v>485.75</v>
      </c>
      <c r="C83">
        <v>3464.52</v>
      </c>
      <c r="D83">
        <v>2</v>
      </c>
    </row>
    <row r="84" spans="1:4" x14ac:dyDescent="0.25">
      <c r="A84">
        <v>2015</v>
      </c>
      <c r="B84">
        <v>1052.06</v>
      </c>
      <c r="C84">
        <v>8475.34</v>
      </c>
      <c r="D84">
        <v>5</v>
      </c>
    </row>
    <row r="85" spans="1:4" x14ac:dyDescent="0.25">
      <c r="A85">
        <v>2016</v>
      </c>
      <c r="B85">
        <v>223.19</v>
      </c>
      <c r="C85">
        <v>2085.2800000000002</v>
      </c>
      <c r="D85">
        <v>5</v>
      </c>
    </row>
    <row r="86" spans="1:4" x14ac:dyDescent="0.25">
      <c r="A86">
        <v>2017</v>
      </c>
      <c r="B86">
        <v>223.26</v>
      </c>
      <c r="C86">
        <v>1927.71</v>
      </c>
      <c r="D86">
        <v>4</v>
      </c>
    </row>
    <row r="87" spans="1:4" x14ac:dyDescent="0.25">
      <c r="A87">
        <v>2018</v>
      </c>
      <c r="B87">
        <v>1106.48</v>
      </c>
      <c r="C87">
        <v>8965.33</v>
      </c>
      <c r="D87">
        <v>12</v>
      </c>
    </row>
    <row r="88" spans="1:4" x14ac:dyDescent="0.25">
      <c r="A88">
        <v>2019</v>
      </c>
      <c r="B88">
        <v>297.64999999999998</v>
      </c>
      <c r="C88">
        <v>3118.47</v>
      </c>
      <c r="D88">
        <v>8</v>
      </c>
    </row>
    <row r="89" spans="1:4" x14ac:dyDescent="0.25">
      <c r="A89">
        <v>2020</v>
      </c>
      <c r="B89">
        <v>266.04000000000002</v>
      </c>
      <c r="C89">
        <v>2471.6999999999998</v>
      </c>
      <c r="D89">
        <v>5</v>
      </c>
    </row>
    <row r="90" spans="1:4" x14ac:dyDescent="0.25">
      <c r="A90">
        <v>2021</v>
      </c>
      <c r="B90">
        <v>263.67</v>
      </c>
      <c r="C90">
        <v>2569.8200000000002</v>
      </c>
      <c r="D90">
        <v>5</v>
      </c>
    </row>
    <row r="91" spans="1:4" x14ac:dyDescent="0.25">
      <c r="A91">
        <v>2022</v>
      </c>
      <c r="B91">
        <v>3006.86</v>
      </c>
      <c r="C91">
        <v>15555.33</v>
      </c>
      <c r="D91">
        <v>2</v>
      </c>
    </row>
    <row r="92" spans="1:4" x14ac:dyDescent="0.25">
      <c r="A92">
        <v>2023</v>
      </c>
      <c r="B92">
        <v>7.5</v>
      </c>
      <c r="C92">
        <v>162.59</v>
      </c>
      <c r="D92">
        <v>2</v>
      </c>
    </row>
    <row r="93" spans="1:4" x14ac:dyDescent="0.25">
      <c r="A93">
        <v>2024</v>
      </c>
      <c r="B93">
        <v>62.81</v>
      </c>
      <c r="C93">
        <v>525.49</v>
      </c>
      <c r="D93">
        <v>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Games_Data</vt:lpstr>
      <vt:lpstr>Pivot Tables</vt:lpstr>
      <vt:lpstr>Dashboard</vt:lpstr>
      <vt:lpstr>Pivot_Summaries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akshayajm@outlook.com</cp:lastModifiedBy>
  <dcterms:created xsi:type="dcterms:W3CDTF">2025-11-27T12:27:36Z</dcterms:created>
  <dcterms:modified xsi:type="dcterms:W3CDTF">2025-12-19T02:58:02Z</dcterms:modified>
</cp:coreProperties>
</file>